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abilfesal-smartmeter-hw\Design-Files\OFP_VIM_v1.5\BOM\"/>
    </mc:Choice>
  </mc:AlternateContent>
  <bookViews>
    <workbookView xWindow="28680" yWindow="-120" windowWidth="29040" windowHeight="15840"/>
  </bookViews>
  <sheets>
    <sheet name="10 Boards" sheetId="1" r:id="rId1"/>
    <sheet name="1000 Boards" sheetId="2" r:id="rId2"/>
  </sheets>
  <calcPr calcId="162913"/>
</workbook>
</file>

<file path=xl/calcChain.xml><?xml version="1.0" encoding="utf-8"?>
<calcChain xmlns="http://schemas.openxmlformats.org/spreadsheetml/2006/main">
  <c r="Q56" i="2" l="1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8" i="2"/>
  <c r="Q54" i="2" l="1"/>
  <c r="B54" i="2"/>
  <c r="Q53" i="2"/>
  <c r="B53" i="2"/>
  <c r="Q52" i="2"/>
  <c r="B52" i="2"/>
  <c r="Q51" i="2"/>
  <c r="B51" i="2"/>
  <c r="Q50" i="2"/>
  <c r="B50" i="2"/>
  <c r="Q49" i="2"/>
  <c r="B49" i="2"/>
  <c r="Q48" i="2"/>
  <c r="B48" i="2"/>
  <c r="Q47" i="2"/>
  <c r="B47" i="2"/>
  <c r="Q46" i="2"/>
  <c r="B46" i="2"/>
  <c r="Q45" i="2"/>
  <c r="B45" i="2"/>
  <c r="Q44" i="2"/>
  <c r="B44" i="2"/>
  <c r="Q43" i="2"/>
  <c r="B43" i="2"/>
  <c r="Q42" i="2"/>
  <c r="B42" i="2"/>
  <c r="Q41" i="2"/>
  <c r="B41" i="2"/>
  <c r="Q40" i="2"/>
  <c r="B40" i="2"/>
  <c r="Q39" i="2"/>
  <c r="B39" i="2"/>
  <c r="Q38" i="2"/>
  <c r="B38" i="2"/>
  <c r="Q37" i="2"/>
  <c r="B37" i="2"/>
  <c r="Q36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Q27" i="2"/>
  <c r="B27" i="2"/>
  <c r="Q26" i="2"/>
  <c r="B26" i="2"/>
  <c r="Q25" i="2"/>
  <c r="B25" i="2"/>
  <c r="Q24" i="2"/>
  <c r="B24" i="2"/>
  <c r="Q23" i="2"/>
  <c r="B23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9" i="2"/>
  <c r="B9" i="2"/>
  <c r="Q8" i="2"/>
  <c r="B8" i="2"/>
  <c r="Q55" i="2" l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8" i="1"/>
  <c r="Q54" i="1" l="1"/>
  <c r="B54" i="1"/>
  <c r="Q53" i="1"/>
  <c r="B53" i="1"/>
  <c r="Q52" i="1"/>
  <c r="B52" i="1"/>
  <c r="Q51" i="1"/>
  <c r="B51" i="1"/>
  <c r="Q50" i="1"/>
  <c r="B50" i="1"/>
  <c r="Q49" i="1"/>
  <c r="B49" i="1"/>
  <c r="Q48" i="1"/>
  <c r="B48" i="1"/>
  <c r="Q47" i="1"/>
  <c r="B47" i="1"/>
  <c r="Q46" i="1"/>
  <c r="B46" i="1"/>
  <c r="Q45" i="1"/>
  <c r="B45" i="1"/>
  <c r="Q44" i="1"/>
  <c r="B44" i="1"/>
  <c r="Q43" i="1"/>
  <c r="B43" i="1"/>
  <c r="Q42" i="1"/>
  <c r="B42" i="1"/>
  <c r="Q41" i="1"/>
  <c r="B41" i="1"/>
  <c r="Q40" i="1"/>
  <c r="B40" i="1"/>
  <c r="Q39" i="1"/>
  <c r="B39" i="1"/>
  <c r="Q38" i="1"/>
  <c r="B38" i="1"/>
  <c r="Q37" i="1"/>
  <c r="B37" i="1"/>
  <c r="Q36" i="1"/>
  <c r="B36" i="1"/>
  <c r="Q35" i="1"/>
  <c r="B35" i="1"/>
  <c r="Q34" i="1"/>
  <c r="B34" i="1"/>
  <c r="Q33" i="1"/>
  <c r="Q55" i="1" s="1"/>
  <c r="Q56" i="1" s="1"/>
  <c r="B33" i="1"/>
  <c r="Q32" i="1"/>
  <c r="B32" i="1"/>
  <c r="Q31" i="1"/>
  <c r="B31" i="1"/>
  <c r="Q30" i="1"/>
  <c r="B30" i="1"/>
  <c r="Q29" i="1"/>
  <c r="B29" i="1"/>
  <c r="Q28" i="1"/>
  <c r="B28" i="1"/>
  <c r="Q27" i="1"/>
  <c r="B27" i="1"/>
  <c r="Q26" i="1"/>
  <c r="B26" i="1"/>
  <c r="Q25" i="1"/>
  <c r="B25" i="1"/>
  <c r="Q24" i="1"/>
  <c r="B24" i="1"/>
  <c r="Q23" i="1"/>
  <c r="B23" i="1"/>
  <c r="Q22" i="1"/>
  <c r="B22" i="1"/>
  <c r="Q21" i="1"/>
  <c r="B21" i="1"/>
  <c r="Q20" i="1"/>
  <c r="B20" i="1"/>
  <c r="Q19" i="1"/>
  <c r="B19" i="1"/>
  <c r="Q18" i="1"/>
  <c r="B18" i="1"/>
  <c r="Q17" i="1"/>
  <c r="B17" i="1"/>
  <c r="Q16" i="1"/>
  <c r="B16" i="1"/>
  <c r="Q15" i="1"/>
  <c r="B15" i="1"/>
  <c r="Q14" i="1"/>
  <c r="B14" i="1"/>
  <c r="Q13" i="1"/>
  <c r="B13" i="1"/>
  <c r="Q12" i="1"/>
  <c r="B12" i="1"/>
  <c r="Q11" i="1"/>
  <c r="B11" i="1"/>
  <c r="Q10" i="1"/>
  <c r="B10" i="1"/>
  <c r="Q9" i="1" l="1"/>
  <c r="Q8" i="1"/>
  <c r="B9" i="1"/>
  <c r="B8" i="1"/>
</calcChain>
</file>

<file path=xl/sharedStrings.xml><?xml version="1.0" encoding="utf-8"?>
<sst xmlns="http://schemas.openxmlformats.org/spreadsheetml/2006/main" count="1087" uniqueCount="385">
  <si>
    <t>Component list</t>
  </si>
  <si>
    <t>Project:</t>
  </si>
  <si>
    <t>#</t>
  </si>
  <si>
    <t xml:space="preserve">Total Component Cost </t>
  </si>
  <si>
    <t>Single Board Cost</t>
  </si>
  <si>
    <t>Item Type</t>
  </si>
  <si>
    <t>Bridge</t>
  </si>
  <si>
    <t>Film Capacitors</t>
  </si>
  <si>
    <t>Capacitor</t>
  </si>
  <si>
    <t>Capacitors</t>
  </si>
  <si>
    <t>Tantalum Capacitors</t>
  </si>
  <si>
    <t>Diodes</t>
  </si>
  <si>
    <t>Fuses</t>
  </si>
  <si>
    <t>Ferrite Beads</t>
  </si>
  <si>
    <t>Fuse Holders</t>
  </si>
  <si>
    <t>Connectors</t>
  </si>
  <si>
    <t>Terminal Block</t>
  </si>
  <si>
    <t>Inductor</t>
  </si>
  <si>
    <t>Transformer</t>
  </si>
  <si>
    <t>Mosfet</t>
  </si>
  <si>
    <t>Through-Hole Resistors</t>
  </si>
  <si>
    <t>Resistors</t>
  </si>
  <si>
    <t>Resistor</t>
  </si>
  <si>
    <t>Varistors</t>
  </si>
  <si>
    <t>IC</t>
  </si>
  <si>
    <t>Designator</t>
  </si>
  <si>
    <t>BR1, BR2</t>
  </si>
  <si>
    <t>C1, C9, C12</t>
  </si>
  <si>
    <t>C2, C10</t>
  </si>
  <si>
    <t>C3, C4, C5, C6</t>
  </si>
  <si>
    <t>C7</t>
  </si>
  <si>
    <t>C8</t>
  </si>
  <si>
    <t>C11</t>
  </si>
  <si>
    <t>C13</t>
  </si>
  <si>
    <t>C14</t>
  </si>
  <si>
    <t>C15, C17</t>
  </si>
  <si>
    <t>C16</t>
  </si>
  <si>
    <t>C18</t>
  </si>
  <si>
    <t>C19, C22, C25</t>
  </si>
  <si>
    <t>C20, C21, C23, C24, C26, C27</t>
  </si>
  <si>
    <t>D1</t>
  </si>
  <si>
    <t>D2</t>
  </si>
  <si>
    <t>D3</t>
  </si>
  <si>
    <t>D4</t>
  </si>
  <si>
    <t>F1</t>
  </si>
  <si>
    <t>FB1, FB2, FB3, FB4</t>
  </si>
  <si>
    <t>J1</t>
  </si>
  <si>
    <t>J2</t>
  </si>
  <si>
    <t>J3</t>
  </si>
  <si>
    <t>J4</t>
  </si>
  <si>
    <t>L1, L2, L3, L5, L6, L7</t>
  </si>
  <si>
    <t>L4</t>
  </si>
  <si>
    <t>Q1</t>
  </si>
  <si>
    <t>R1, R7, R12</t>
  </si>
  <si>
    <t>R2, R3, R9, R11, R13, R16</t>
  </si>
  <si>
    <t>R4, R8, R10, R14</t>
  </si>
  <si>
    <t>R5</t>
  </si>
  <si>
    <t>R6</t>
  </si>
  <si>
    <t>R15</t>
  </si>
  <si>
    <t>R17</t>
  </si>
  <si>
    <t>R18</t>
  </si>
  <si>
    <t>R19</t>
  </si>
  <si>
    <t>R20</t>
  </si>
  <si>
    <t>R21</t>
  </si>
  <si>
    <t>R22</t>
  </si>
  <si>
    <t>R23</t>
  </si>
  <si>
    <t>R24</t>
  </si>
  <si>
    <t>R25, R26, R27, R28, R31, R32, R33, R34, R37, R38, R39, R40</t>
  </si>
  <si>
    <t>R29, R30, R35, R36, R41, R42</t>
  </si>
  <si>
    <t>RV1, RV2, RV3</t>
  </si>
  <si>
    <t>U1</t>
  </si>
  <si>
    <t>U2</t>
  </si>
  <si>
    <t>U3</t>
  </si>
  <si>
    <t>Description</t>
  </si>
  <si>
    <t>30A 950mV@400mA 1A 800V LMBS-1 Bridge Rectifiers ROHS</t>
  </si>
  <si>
    <t>CAP FILM 0.1UF 20% 630VDC RADIAL</t>
  </si>
  <si>
    <t>33uF 420V 1Ω@100kHz 430mA@100kHz ±20% Plugin,D10xL16mm Aluminum Electrolytic Capacitors - Leaded ROHS</t>
  </si>
  <si>
    <t>CAP ALUM 68UF 20% 25V SMD</t>
  </si>
  <si>
    <t>CAP CER 1000PF 1KV X7R 1206</t>
  </si>
  <si>
    <t>10nF -40℃~+105℃ ±5% 1kV Plugin,P=15mm Polypropylene Film Capacitors (CBB) ROHS</t>
  </si>
  <si>
    <t>CAP CER 1000PF 440VAC Y5U RADIAL</t>
  </si>
  <si>
    <t>CAP TANT 10UF 10% 35V 2312</t>
  </si>
  <si>
    <t>CAP CER 10000PF 50V X7R 0603</t>
  </si>
  <si>
    <t>CAP CER 1UF 50V X7R 0603</t>
  </si>
  <si>
    <t>CAP CER 0.22UF 25V X7R 0603</t>
  </si>
  <si>
    <t>CAP CER 220PF 50V X7R 0603</t>
  </si>
  <si>
    <t>51 pF ±1% 250V Ceramic Capacitor C0G, NP0 0603 (1608 Metric)</t>
  </si>
  <si>
    <t>CAP CER 0.022UF 500V X7R 1206</t>
  </si>
  <si>
    <t>DIODE SCHOTTKY 150V 20A TO2773</t>
  </si>
  <si>
    <t>DIODE ZENER 15V 500MW SOD123</t>
  </si>
  <si>
    <t>DIODE STANDARD 800V 1A SMA</t>
  </si>
  <si>
    <t>DIODE STANDARD 150V 1A SMA</t>
  </si>
  <si>
    <t>FUSE BRD MNT 1.5A 125VAC/VDC SMD</t>
  </si>
  <si>
    <t>FERRITE BEAD 1.5 KOHM 0805 1LN</t>
  </si>
  <si>
    <t>FUSE BLOK CARTRIDGE 125V 10A SMD</t>
  </si>
  <si>
    <t>CONN HDR 24POS 0.1 GOLD PCB R/A</t>
  </si>
  <si>
    <t>450V 17.5A 4 Bend -40℃~+105℃ 1 5.08mm Green Board Edge/Receptacle-Open Push-Pull,P=5.08mm Pluggable System Terminal Block ROHS</t>
  </si>
  <si>
    <t>450V 17.5A 4 -40℃~+105℃ 1.5 1 14~28 5.08mm 1x4P Green Plug P=5.08mm Pluggable System Terminal Block ROHS</t>
  </si>
  <si>
    <t>420mA 470uH EI-core Inductor ±20% Plugin Power Inductors ROHS</t>
  </si>
  <si>
    <t>900V 5.1A 83W 1.2Ω@10V,2.8A 3.5V 1 N-channel TO-252-3 MOSFETs ROHS</t>
  </si>
  <si>
    <t>RES 1 OHM 5% 2W AXIAL</t>
  </si>
  <si>
    <t>RES 10K OHM 1% 1/2W 1206</t>
  </si>
  <si>
    <t>RES SMD 976K OHM 0.1% 1/4W 1206</t>
  </si>
  <si>
    <t>RES SMD 100 OHM 1% 3/4W 2010</t>
  </si>
  <si>
    <t>RES SMD 47K OHM 1% 1W 2512</t>
  </si>
  <si>
    <t>RES 10 OHM 1% 1/4W 1206</t>
  </si>
  <si>
    <t>RES 49.9 OHM 1% 1/10W 0603</t>
  </si>
  <si>
    <t>RES 0 OHM JUMPER 1/8W 0805</t>
  </si>
  <si>
    <t>RES 100K OHM 1% 1/10W 0603</t>
  </si>
  <si>
    <t>RES 4.99K OHM 1% 1/10W 0603</t>
  </si>
  <si>
    <t>RES SMD 1K OHM 1% 1/10W 0603</t>
  </si>
  <si>
    <t>RES SMD 66.5KOHM 0.1% 1/10W 0603</t>
  </si>
  <si>
    <t>RES 0.75 OHM 1% 1/2W 1206</t>
  </si>
  <si>
    <t>RES SMD 26.1KOHM 0.1% 1/10W 0603</t>
  </si>
  <si>
    <t>RES SMD 200K OHM 1% 1W 2512</t>
  </si>
  <si>
    <t>RES 1K OHM 5% 1W 2512</t>
  </si>
  <si>
    <t>775V 385V 300V 470V Plugin Varistors ROHS</t>
  </si>
  <si>
    <t>IC OFFLINE SW MULT TOP 8VSSOP</t>
  </si>
  <si>
    <t>OPTOISOLATOR 5KV TRANSISTOR 4DIP</t>
  </si>
  <si>
    <t>IC VREF SHUNT ADJ 1% SOT23-3</t>
  </si>
  <si>
    <t>Footprint</t>
  </si>
  <si>
    <t>LMBS-1</t>
  </si>
  <si>
    <t>B32921C3104M000</t>
  </si>
  <si>
    <t>87EC0494</t>
  </si>
  <si>
    <t>Cap-1206</t>
  </si>
  <si>
    <t>KP103J1000VP15</t>
  </si>
  <si>
    <t>VY2102M29Y5US6TV7</t>
  </si>
  <si>
    <t>Case-C</t>
  </si>
  <si>
    <t>Cap-0603</t>
  </si>
  <si>
    <t>TO-277A</t>
  </si>
  <si>
    <t>SOD-123W</t>
  </si>
  <si>
    <t>SMA</t>
  </si>
  <si>
    <t>Ind-0805</t>
  </si>
  <si>
    <t>01550900M</t>
  </si>
  <si>
    <t>SFH11-PBPC-D12-RA-BK</t>
  </si>
  <si>
    <t>DB2ER-5.08-4P-GN</t>
  </si>
  <si>
    <t>PK0810-471MB</t>
  </si>
  <si>
    <t>TO-252-2L</t>
  </si>
  <si>
    <t>FMP200JR-52-1R</t>
  </si>
  <si>
    <t>Res-1206</t>
  </si>
  <si>
    <t>Res_1210</t>
  </si>
  <si>
    <t>RES-2512</t>
  </si>
  <si>
    <t>Res-0603</t>
  </si>
  <si>
    <t>Res-0805</t>
  </si>
  <si>
    <t>471KD10J</t>
  </si>
  <si>
    <t>8-VSSOP (Pitch 0.65mm)(5x3.1mm)</t>
  </si>
  <si>
    <t>DIP-4</t>
  </si>
  <si>
    <t>SOT-23</t>
  </si>
  <si>
    <t>Manufacturer Part Number</t>
  </si>
  <si>
    <t>LMB8S-TP</t>
  </si>
  <si>
    <t>EEE-FK1E680P</t>
  </si>
  <si>
    <t>GRM31BR73A102KW01L</t>
  </si>
  <si>
    <t>TAJC106K035RNJ</t>
  </si>
  <si>
    <t>CC0603KRX7R9BB103</t>
  </si>
  <si>
    <t>CC0603KRX7R9BB105</t>
  </si>
  <si>
    <t>CC0603KRX7R8BB224</t>
  </si>
  <si>
    <t>CC0603JRX7R9BB221</t>
  </si>
  <si>
    <t>GQM1875C2E510FB12D</t>
  </si>
  <si>
    <t>CC1206KKX7RBBB223</t>
  </si>
  <si>
    <t>FSV20150V</t>
  </si>
  <si>
    <t>MMSZ5245B-7-F</t>
  </si>
  <si>
    <t>US1K-13-F</t>
  </si>
  <si>
    <t>ES1C-13-F</t>
  </si>
  <si>
    <t>045301.5MR</t>
  </si>
  <si>
    <t>BLM21BD152SN1D</t>
  </si>
  <si>
    <t>DB2EK-5.08-4P-GN-S</t>
  </si>
  <si>
    <t>IPD90R1K2C3</t>
  </si>
  <si>
    <t>AC1206FR-7W10KL</t>
  </si>
  <si>
    <t>RT1206BRD07976KL</t>
  </si>
  <si>
    <t>AC2010FK-07100RL</t>
  </si>
  <si>
    <t>AC2512FK-0747KL</t>
  </si>
  <si>
    <t>RC1206FR-0710RL</t>
  </si>
  <si>
    <t>RC0603FR-0749R9L</t>
  </si>
  <si>
    <t>RC0805FR-070RL</t>
  </si>
  <si>
    <t>RC0603FR-07100KL</t>
  </si>
  <si>
    <t>RC0603FR-074K99L</t>
  </si>
  <si>
    <t>RC0603FR-071KL</t>
  </si>
  <si>
    <t>RT0603BRD0766K5L</t>
  </si>
  <si>
    <t>RL1206FR-7W0R75L</t>
  </si>
  <si>
    <t>RT0603BRD0726K1L</t>
  </si>
  <si>
    <t>CRCW2512200KFKEG</t>
  </si>
  <si>
    <t>RC2512JK-071KL</t>
  </si>
  <si>
    <t>LM5021MM-1/NOPB</t>
  </si>
  <si>
    <t>FOD817A</t>
  </si>
  <si>
    <t>ATL431AIDBZR</t>
  </si>
  <si>
    <t>Manufacturer</t>
  </si>
  <si>
    <t>MCC(Micro Commercial Components)</t>
  </si>
  <si>
    <t>TDK EPCOS</t>
  </si>
  <si>
    <t>KNSCHA</t>
  </si>
  <si>
    <t>Panasonic</t>
  </si>
  <si>
    <t>Murata</t>
  </si>
  <si>
    <t>KYET</t>
  </si>
  <si>
    <t>Vishay BCcomponents</t>
  </si>
  <si>
    <t>Kyocera AVX</t>
  </si>
  <si>
    <t>Yageo</t>
  </si>
  <si>
    <t>ON Semiconductor / Fairchild</t>
  </si>
  <si>
    <t>Littelfuse</t>
  </si>
  <si>
    <t>Sullins</t>
  </si>
  <si>
    <t>DIBO</t>
  </si>
  <si>
    <t>DORABO</t>
  </si>
  <si>
    <t>SXN(Shun Xiang Nuo Elec)</t>
  </si>
  <si>
    <t>Infineon</t>
  </si>
  <si>
    <t>Vishay Dale</t>
  </si>
  <si>
    <t>TI National Semiconductor</t>
  </si>
  <si>
    <t>Texas Instruments</t>
  </si>
  <si>
    <t>LCSC Part Number</t>
  </si>
  <si>
    <t>C435904</t>
  </si>
  <si>
    <t>C361368</t>
  </si>
  <si>
    <t>C6718366</t>
  </si>
  <si>
    <t>C336242</t>
  </si>
  <si>
    <t>C97941</t>
  </si>
  <si>
    <t>C390160</t>
  </si>
  <si>
    <t>C511063</t>
  </si>
  <si>
    <t>C7211</t>
  </si>
  <si>
    <t>C100042</t>
  </si>
  <si>
    <t>C559769</t>
  </si>
  <si>
    <t>C106857</t>
  </si>
  <si>
    <t>C327270</t>
  </si>
  <si>
    <t>C17504198</t>
  </si>
  <si>
    <t>C606024</t>
  </si>
  <si>
    <t>C177050</t>
  </si>
  <si>
    <t>C110532</t>
  </si>
  <si>
    <t>C781252</t>
  </si>
  <si>
    <t>C178994</t>
  </si>
  <si>
    <t>C413959</t>
  </si>
  <si>
    <t>C108518</t>
  </si>
  <si>
    <t>C395752</t>
  </si>
  <si>
    <t>C395757</t>
  </si>
  <si>
    <t>C400319</t>
  </si>
  <si>
    <t>C386347</t>
  </si>
  <si>
    <t>C1741654</t>
  </si>
  <si>
    <t>C326700</t>
  </si>
  <si>
    <t>C870948</t>
  </si>
  <si>
    <t>C138240</t>
  </si>
  <si>
    <t>C728203</t>
  </si>
  <si>
    <t>C108080</t>
  </si>
  <si>
    <t>C114625</t>
  </si>
  <si>
    <t>C100045</t>
  </si>
  <si>
    <t>C14675</t>
  </si>
  <si>
    <t>C114621</t>
  </si>
  <si>
    <t>C22548</t>
  </si>
  <si>
    <t>C861515</t>
  </si>
  <si>
    <t>C859938</t>
  </si>
  <si>
    <t>C728586</t>
  </si>
  <si>
    <t>C2078538</t>
  </si>
  <si>
    <t>C522648</t>
  </si>
  <si>
    <t>C202233</t>
  </si>
  <si>
    <t>C900909</t>
  </si>
  <si>
    <t>C134067</t>
  </si>
  <si>
    <t>0.1uF</t>
  </si>
  <si>
    <t>33uF</t>
  </si>
  <si>
    <t>68uF</t>
  </si>
  <si>
    <t>1nF</t>
  </si>
  <si>
    <t>10nF</t>
  </si>
  <si>
    <t>10uF</t>
  </si>
  <si>
    <t>0.01uF</t>
  </si>
  <si>
    <t>1uF</t>
  </si>
  <si>
    <t>220nF</t>
  </si>
  <si>
    <t>220pF</t>
  </si>
  <si>
    <t>51pF</t>
  </si>
  <si>
    <t>22nF</t>
  </si>
  <si>
    <t>15V</t>
  </si>
  <si>
    <t>470uH</t>
  </si>
  <si>
    <t>1R</t>
  </si>
  <si>
    <t>10K</t>
  </si>
  <si>
    <t>976K</t>
  </si>
  <si>
    <t>100R</t>
  </si>
  <si>
    <t>47K</t>
  </si>
  <si>
    <t>10R</t>
  </si>
  <si>
    <t>49.9R</t>
  </si>
  <si>
    <t>0R</t>
  </si>
  <si>
    <t>100K</t>
  </si>
  <si>
    <t>4.99K</t>
  </si>
  <si>
    <t>1K</t>
  </si>
  <si>
    <t>66.5K</t>
  </si>
  <si>
    <t>750mR</t>
  </si>
  <si>
    <t>26.1K</t>
  </si>
  <si>
    <t>200K</t>
  </si>
  <si>
    <t>Quantity</t>
  </si>
  <si>
    <t>Bill of Materials for Project [OFP_VIM_v1.5</t>
  </si>
  <si>
    <t>OFP_VIM_v1.5</t>
  </si>
  <si>
    <t>Alternate Part Number</t>
  </si>
  <si>
    <t>Value</t>
  </si>
  <si>
    <t>Quantity (10 Boards)</t>
  </si>
  <si>
    <t>MOQ (10 Boards)</t>
  </si>
  <si>
    <t>Links</t>
  </si>
  <si>
    <t>Unit Cost (10 Boards)</t>
  </si>
  <si>
    <t>Total Cost (10 Boards)</t>
  </si>
  <si>
    <t>Remarks</t>
  </si>
  <si>
    <t>-</t>
  </si>
  <si>
    <t>Custom</t>
  </si>
  <si>
    <t>0.0852</t>
  </si>
  <si>
    <t>0.2582</t>
  </si>
  <si>
    <t>0.1894</t>
  </si>
  <si>
    <t>0.0238</t>
  </si>
  <si>
    <t>0.1561</t>
  </si>
  <si>
    <t>0.1303</t>
  </si>
  <si>
    <t>0.2657</t>
  </si>
  <si>
    <t>0.0022</t>
  </si>
  <si>
    <t>0.0257</t>
  </si>
  <si>
    <t>0.0079</t>
  </si>
  <si>
    <t>0.0042</t>
  </si>
  <si>
    <t>0.1606</t>
  </si>
  <si>
    <t>0.8316</t>
  </si>
  <si>
    <t>0.0285</t>
  </si>
  <si>
    <t>0.0570</t>
  </si>
  <si>
    <t>0.1548</t>
  </si>
  <si>
    <t>0.2443</t>
  </si>
  <si>
    <t>0.0438</t>
  </si>
  <si>
    <t>0.2866</t>
  </si>
  <si>
    <t>20</t>
  </si>
  <si>
    <t>100</t>
  </si>
  <si>
    <t>50</t>
  </si>
  <si>
    <t>LCSC</t>
  </si>
  <si>
    <t>0.1510</t>
  </si>
  <si>
    <t>0.3389</t>
  </si>
  <si>
    <t>0.0861</t>
  </si>
  <si>
    <t>0.7160</t>
  </si>
  <si>
    <t>0.0668</t>
  </si>
  <si>
    <t>0.0104</t>
  </si>
  <si>
    <t>0.0468</t>
  </si>
  <si>
    <t>0.0289</t>
  </si>
  <si>
    <t>0.0501</t>
  </si>
  <si>
    <t>0.0109</t>
  </si>
  <si>
    <t>0.0013</t>
  </si>
  <si>
    <t>0.0008</t>
  </si>
  <si>
    <t>0.0012</t>
  </si>
  <si>
    <t>0.0011</t>
  </si>
  <si>
    <t>0.0248</t>
  </si>
  <si>
    <t>0.0190</t>
  </si>
  <si>
    <t>0.0244</t>
  </si>
  <si>
    <t>0.1801</t>
  </si>
  <si>
    <t>0.0192</t>
  </si>
  <si>
    <t>0.0702</t>
  </si>
  <si>
    <t>1.2054</t>
  </si>
  <si>
    <t>0.2352</t>
  </si>
  <si>
    <t>0.2617</t>
  </si>
  <si>
    <t>Chipsmall</t>
  </si>
  <si>
    <t>C2960674</t>
  </si>
  <si>
    <t>FRC2512J102 TS</t>
  </si>
  <si>
    <t>Quantity (1000 Boards)</t>
  </si>
  <si>
    <t>MOQ (1000 Boards)</t>
  </si>
  <si>
    <t>Unit Cost (1000 Boards)</t>
  </si>
  <si>
    <t>Total Cost (1000 Boards)</t>
  </si>
  <si>
    <t>0.0533</t>
  </si>
  <si>
    <t>0.1316</t>
  </si>
  <si>
    <t>0.2105</t>
  </si>
  <si>
    <t>0.1038</t>
  </si>
  <si>
    <t>0.0153</t>
  </si>
  <si>
    <t>0.0827</t>
  </si>
  <si>
    <t>0.0626</t>
  </si>
  <si>
    <t>0.1632</t>
  </si>
  <si>
    <t>0.0017</t>
  </si>
  <si>
    <t>0.0166</t>
  </si>
  <si>
    <t>0.0061</t>
  </si>
  <si>
    <t>0.0032</t>
  </si>
  <si>
    <t>0.0609</t>
  </si>
  <si>
    <t>0.0168</t>
  </si>
  <si>
    <t>0.5540</t>
  </si>
  <si>
    <t>0.0184</t>
  </si>
  <si>
    <t>0.0385</t>
  </si>
  <si>
    <t>0.0922</t>
  </si>
  <si>
    <t>0.1497</t>
  </si>
  <si>
    <t>0.0228</t>
  </si>
  <si>
    <t>0.1865</t>
  </si>
  <si>
    <t>0.0909</t>
  </si>
  <si>
    <t>0.2219</t>
  </si>
  <si>
    <t>0.0544</t>
  </si>
  <si>
    <t>0.4727</t>
  </si>
  <si>
    <t>0.0397</t>
  </si>
  <si>
    <t>0.0063</t>
  </si>
  <si>
    <t>0.0301</t>
  </si>
  <si>
    <t>0.0193</t>
  </si>
  <si>
    <t>0.0324</t>
  </si>
  <si>
    <t>0.0086</t>
  </si>
  <si>
    <t>0.0010</t>
  </si>
  <si>
    <t>0.0006</t>
  </si>
  <si>
    <t>0.0009</t>
  </si>
  <si>
    <t>0.0170</t>
  </si>
  <si>
    <t>0.0150</t>
  </si>
  <si>
    <t>0.1186</t>
  </si>
  <si>
    <t>0.0160</t>
  </si>
  <si>
    <t>0.0426</t>
  </si>
  <si>
    <t>0.7933</t>
  </si>
  <si>
    <t>0.1318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</si>
</sst>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2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>
      <alignment vertical="center"/>
    </xf>
  </cellStyleXfs>
  <cellXfs count="5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20" fillId="0" borderId="13" xfId="1" applyFont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schottky-diodes_onsemi-fsv20150v_C606024.html" TargetMode="External"/><Relationship Id="rId18" Type="http://schemas.openxmlformats.org/officeDocument/2006/relationships/hyperlink" Target="https://www.lcsc.com/product-detail/ferrite-beads_murata-electronics-blm21bd152sn1d_C413959.html" TargetMode="External"/><Relationship Id="rId26" Type="http://schemas.openxmlformats.org/officeDocument/2006/relationships/hyperlink" Target="https://www.lcsc.com/product-detail/chip-resistor-surface-mount_yageo-rt1206brd07976kl_C870948.html" TargetMode="External"/><Relationship Id="rId39" Type="http://schemas.openxmlformats.org/officeDocument/2006/relationships/hyperlink" Target="https://www.lcsc.com/product-detail/varistors_brightking-471kd10j_C522648.html" TargetMode="External"/><Relationship Id="rId21" Type="http://schemas.openxmlformats.org/officeDocument/2006/relationships/hyperlink" Target="https://www.lcsc.com/product-detail/pluggable-system-terminal-block_dorabo-db2ek-5-08-4p-gn-s_C395757.html" TargetMode="External"/><Relationship Id="rId34" Type="http://schemas.openxmlformats.org/officeDocument/2006/relationships/hyperlink" Target="https://www.lcsc.com/product-detail/chip-resistor-surface-mount_yageo-rc0603fr-071kl_C22548.html" TargetMode="External"/><Relationship Id="rId42" Type="http://schemas.openxmlformats.org/officeDocument/2006/relationships/hyperlink" Target="https://www.lcsc.com/product-detail/voltage-reference_texas-instruments-atl431aidbzr_C134067.html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www.lcsc.com/product-detail/tantalum-capacitors_kyocera-avx-tajc106k035rnj_C7211.html" TargetMode="External"/><Relationship Id="rId2" Type="http://schemas.openxmlformats.org/officeDocument/2006/relationships/hyperlink" Target="https://www.lcsc.com/product-detail/aluminum-electrolytic-capacitors-leaded_knscha-87ec0494_C6718366.html" TargetMode="External"/><Relationship Id="rId16" Type="http://schemas.openxmlformats.org/officeDocument/2006/relationships/hyperlink" Target="https://www.lcsc.com/product-detail/fast-recovery-high-efficiency-diodes_diodes-incorporated-es1c-13-f_C781252.html" TargetMode="External"/><Relationship Id="rId29" Type="http://schemas.openxmlformats.org/officeDocument/2006/relationships/hyperlink" Target="https://www.lcsc.com/product-detail/chip-resistor-surface-mount_yageo-rc1206fr-0710rl_C108080.html" TargetMode="External"/><Relationship Id="rId1" Type="http://schemas.openxmlformats.org/officeDocument/2006/relationships/hyperlink" Target="https://www.lcsc.com/product-detail/bridge-rectifiers_mcc-micro-commercial-components-lmb8s-tp_C435904.html" TargetMode="External"/><Relationship Id="rId6" Type="http://schemas.openxmlformats.org/officeDocument/2006/relationships/hyperlink" Target="https://www.lcsc.com/product-detail/safety-capacitors_vishay-intertech-vy2102m29y5us6tv7_C511063.html" TargetMode="External"/><Relationship Id="rId11" Type="http://schemas.openxmlformats.org/officeDocument/2006/relationships/hyperlink" Target="https://www.lcsc.com/product-detail/multilayer-ceramic-capacitors-mlcc-smd-smt_yageo-cc0603jrx7r9bb221_C327270.html" TargetMode="External"/><Relationship Id="rId24" Type="http://schemas.openxmlformats.org/officeDocument/2006/relationships/hyperlink" Target="https://www.lcsc.com/product-detail/through-hole-resistors_yageo-fmp200jr-52-1r_C1741654.html" TargetMode="External"/><Relationship Id="rId32" Type="http://schemas.openxmlformats.org/officeDocument/2006/relationships/hyperlink" Target="https://www.lcsc.com/product-detail/chip-resistor-surface-mount_yageo-rc0603fr-07100kl_C14675.html" TargetMode="External"/><Relationship Id="rId37" Type="http://schemas.openxmlformats.org/officeDocument/2006/relationships/hyperlink" Target="https://www.lcsc.com/product-detail/chip-resistor-surface-mount_yageo-rt0603brd0726k1l_C728586.html" TargetMode="External"/><Relationship Id="rId40" Type="http://schemas.openxmlformats.org/officeDocument/2006/relationships/hyperlink" Target="https://www.lcsc.com/product-detail/ac-dc-controllers-and-regulators_texas-instruments-lm5021mm-1-nopb_C202233.html" TargetMode="External"/><Relationship Id="rId45" Type="http://schemas.openxmlformats.org/officeDocument/2006/relationships/hyperlink" Target="https://www.chipsmall.com/Products/SFH11-PBPC-D12-RA-BK_12482478.html" TargetMode="External"/><Relationship Id="rId5" Type="http://schemas.openxmlformats.org/officeDocument/2006/relationships/hyperlink" Target="https://www.lcsc.com/product-detail/polypropylene-film-capacitors-cbb_kyet-kp103j1000vp15_C390160.html" TargetMode="External"/><Relationship Id="rId15" Type="http://schemas.openxmlformats.org/officeDocument/2006/relationships/hyperlink" Target="https://www.lcsc.com/product-detail/fast-recovery-high-efficiency-diodes_diodes-incorporated-us1k-13-f_C110532.html" TargetMode="External"/><Relationship Id="rId23" Type="http://schemas.openxmlformats.org/officeDocument/2006/relationships/hyperlink" Target="https://www.lcsc.com/product-detail/mosfets_infineon-technologies-ipd90r1k2c3_C386347.html" TargetMode="External"/><Relationship Id="rId28" Type="http://schemas.openxmlformats.org/officeDocument/2006/relationships/hyperlink" Target="https://www.lcsc.com/product-detail/chip-resistor-surface-mount_yageo-ac2512fk-0747kl_C728203.html" TargetMode="External"/><Relationship Id="rId36" Type="http://schemas.openxmlformats.org/officeDocument/2006/relationships/hyperlink" Target="https://www.lcsc.com/product-detail/chip-resistor-surface-mount_yageo-rl1206fr-7w0r75l_C859938.html" TargetMode="External"/><Relationship Id="rId10" Type="http://schemas.openxmlformats.org/officeDocument/2006/relationships/hyperlink" Target="https://www.lcsc.com/product-detail/multilayer-ceramic-capacitors-mlcc-smd-smt_yageo-cc0603krx7r8bb224_C106857.html" TargetMode="External"/><Relationship Id="rId19" Type="http://schemas.openxmlformats.org/officeDocument/2006/relationships/hyperlink" Target="https://www.lcsc.com/product-detail/fuseholders_littelfuse-01550900m_C108518.html" TargetMode="External"/><Relationship Id="rId31" Type="http://schemas.openxmlformats.org/officeDocument/2006/relationships/hyperlink" Target="https://www.lcsc.com/product-detail/chip-resistor-surface-mount_yageo-rc0805fr-070rl_C100045.html" TargetMode="External"/><Relationship Id="rId44" Type="http://schemas.openxmlformats.org/officeDocument/2006/relationships/hyperlink" Target="https://www.chipsmall.com/Products/CC1206KKX7RBBB223_11665884.html" TargetMode="External"/><Relationship Id="rId4" Type="http://schemas.openxmlformats.org/officeDocument/2006/relationships/hyperlink" Target="https://www.lcsc.com/product-detail/multilayer-ceramic-capacitors-mlcc-smd-smt_murata-electronics-grm31br73a102kw01l_C97941.html" TargetMode="External"/><Relationship Id="rId9" Type="http://schemas.openxmlformats.org/officeDocument/2006/relationships/hyperlink" Target="https://www.lcsc.com/product-detail/multilayer-ceramic-capacitors-mlcc-smd-smt_yageo-cc0603krx7r9bb105_C559769.html" TargetMode="External"/><Relationship Id="rId14" Type="http://schemas.openxmlformats.org/officeDocument/2006/relationships/hyperlink" Target="https://www.lcsc.com/product-detail/zener-diodes_diodes-incorporated-mmsz5245b-7-f_C177050.html" TargetMode="External"/><Relationship Id="rId22" Type="http://schemas.openxmlformats.org/officeDocument/2006/relationships/hyperlink" Target="https://www.lcsc.com/product-detail/power-inductors_sxn-shun-xiang-nuo-elec-pk0810-471mb_C400319.html" TargetMode="External"/><Relationship Id="rId27" Type="http://schemas.openxmlformats.org/officeDocument/2006/relationships/hyperlink" Target="https://www.lcsc.com/product-detail/chip-resistor-surface-mount_yageo-ac2010fk-07100rl_C138240.html" TargetMode="External"/><Relationship Id="rId30" Type="http://schemas.openxmlformats.org/officeDocument/2006/relationships/hyperlink" Target="https://www.lcsc.com/product-detail/chip-resistor-surface-mount_yageo-rc0603fr-0749r9l_C114625.html" TargetMode="External"/><Relationship Id="rId35" Type="http://schemas.openxmlformats.org/officeDocument/2006/relationships/hyperlink" Target="https://www.lcsc.com/product-detail/chip-resistor-surface-mount_yageo-rt0603brd0766k5l_C861515.html" TargetMode="External"/><Relationship Id="rId43" Type="http://schemas.openxmlformats.org/officeDocument/2006/relationships/hyperlink" Target="https://www.lcsc.com/product-detail/Safety-Capacitors_TDK-B32921C3104M000_C361368.html?s_z=n_C361368" TargetMode="External"/><Relationship Id="rId8" Type="http://schemas.openxmlformats.org/officeDocument/2006/relationships/hyperlink" Target="https://www.lcsc.com/product-detail/multilayer-ceramic-capacitors-mlcc-smd-smt_yageo-cc0603krx7r9bb103_C100042.html" TargetMode="External"/><Relationship Id="rId3" Type="http://schemas.openxmlformats.org/officeDocument/2006/relationships/hyperlink" Target="https://www.lcsc.com/product-detail/aluminum-electrolytic-capacitors-smd_panasonic-eeefk1e680p_C336242.html" TargetMode="External"/><Relationship Id="rId12" Type="http://schemas.openxmlformats.org/officeDocument/2006/relationships/hyperlink" Target="https://www.lcsc.com/product-detail/multilayer-ceramic-capacitors-mlcc-smd-smt_murata-electronics-gqm1875c2e510fb12d_C17504198.html" TargetMode="External"/><Relationship Id="rId17" Type="http://schemas.openxmlformats.org/officeDocument/2006/relationships/hyperlink" Target="https://www.lcsc.com/product-detail/disposable-fuses_littelfuse-045301-5mr_C178994.html" TargetMode="External"/><Relationship Id="rId25" Type="http://schemas.openxmlformats.org/officeDocument/2006/relationships/hyperlink" Target="https://www.lcsc.com/product-detail/chip-resistor-surface-mount_yageo-ac1206fr-7w10kl_C326700.html" TargetMode="External"/><Relationship Id="rId33" Type="http://schemas.openxmlformats.org/officeDocument/2006/relationships/hyperlink" Target="https://www.lcsc.com/product-detail/chip-resistor-surface-mount_yageo-rc0603fr-074k99l_C114621.html" TargetMode="External"/><Relationship Id="rId38" Type="http://schemas.openxmlformats.org/officeDocument/2006/relationships/hyperlink" Target="https://www.lcsc.com/product-detail/chip-resistor-surface-mount_vishay-intertech-crcw2512200kfkeg_C2078538.html" TargetMode="External"/><Relationship Id="rId46" Type="http://schemas.openxmlformats.org/officeDocument/2006/relationships/hyperlink" Target="https://www.lcsc.com/product-detail/Chip-Resistor-Surface-Mount_FOJAN-FRC2512J102-TS_C2960674.html" TargetMode="External"/><Relationship Id="rId20" Type="http://schemas.openxmlformats.org/officeDocument/2006/relationships/hyperlink" Target="https://www.lcsc.com/product-detail/pluggable-system-terminal-block_dorabo-db2er-5-08-4p-gn_C395752.html" TargetMode="External"/><Relationship Id="rId41" Type="http://schemas.openxmlformats.org/officeDocument/2006/relationships/hyperlink" Target="https://www.lcsc.com/product-detail/transistor-photovoltaic-output-optoisolators_onsemi-fod817a_C900909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schottky-diodes_onsemi-fsv20150v_C606024.html" TargetMode="External"/><Relationship Id="rId18" Type="http://schemas.openxmlformats.org/officeDocument/2006/relationships/hyperlink" Target="https://www.lcsc.com/product-detail/ferrite-beads_murata-electronics-blm21bd152sn1d_C413959.html" TargetMode="External"/><Relationship Id="rId26" Type="http://schemas.openxmlformats.org/officeDocument/2006/relationships/hyperlink" Target="https://www.lcsc.com/product-detail/chip-resistor-surface-mount_yageo-rt1206brd07976kl_C870948.html" TargetMode="External"/><Relationship Id="rId39" Type="http://schemas.openxmlformats.org/officeDocument/2006/relationships/hyperlink" Target="https://www.lcsc.com/product-detail/varistors_brightking-471kd10j_C522648.html" TargetMode="External"/><Relationship Id="rId21" Type="http://schemas.openxmlformats.org/officeDocument/2006/relationships/hyperlink" Target="https://www.lcsc.com/product-detail/pluggable-system-terminal-block_dorabo-db2ek-5-08-4p-gn-s_C395757.html" TargetMode="External"/><Relationship Id="rId34" Type="http://schemas.openxmlformats.org/officeDocument/2006/relationships/hyperlink" Target="https://www.lcsc.com/product-detail/chip-resistor-surface-mount_yageo-rc0603fr-071kl_C22548.html" TargetMode="External"/><Relationship Id="rId42" Type="http://schemas.openxmlformats.org/officeDocument/2006/relationships/hyperlink" Target="https://www.lcsc.com/product-detail/voltage-reference_texas-instruments-atl431aidbzr_C134067.html" TargetMode="External"/><Relationship Id="rId7" Type="http://schemas.openxmlformats.org/officeDocument/2006/relationships/hyperlink" Target="https://www.lcsc.com/product-detail/tantalum-capacitors_kyocera-avx-tajc106k035rnj_C7211.html" TargetMode="External"/><Relationship Id="rId2" Type="http://schemas.openxmlformats.org/officeDocument/2006/relationships/hyperlink" Target="https://www.lcsc.com/product-detail/aluminum-electrolytic-capacitors-leaded_knscha-87ec0494_C6718366.html" TargetMode="External"/><Relationship Id="rId16" Type="http://schemas.openxmlformats.org/officeDocument/2006/relationships/hyperlink" Target="https://www.lcsc.com/product-detail/fast-recovery-high-efficiency-diodes_diodes-incorporated-es1c-13-f_C781252.html" TargetMode="External"/><Relationship Id="rId29" Type="http://schemas.openxmlformats.org/officeDocument/2006/relationships/hyperlink" Target="https://www.lcsc.com/product-detail/chip-resistor-surface-mount_yageo-rc1206fr-0710rl_C108080.html" TargetMode="External"/><Relationship Id="rId1" Type="http://schemas.openxmlformats.org/officeDocument/2006/relationships/hyperlink" Target="https://www.lcsc.com/product-detail/bridge-rectifiers_mcc-micro-commercial-components-lmb8s-tp_C435904.html" TargetMode="External"/><Relationship Id="rId6" Type="http://schemas.openxmlformats.org/officeDocument/2006/relationships/hyperlink" Target="https://www.lcsc.com/product-detail/safety-capacitors_vishay-intertech-vy2102m29y5us6tv7_C511063.html" TargetMode="External"/><Relationship Id="rId11" Type="http://schemas.openxmlformats.org/officeDocument/2006/relationships/hyperlink" Target="https://www.lcsc.com/product-detail/multilayer-ceramic-capacitors-mlcc-smd-smt_yageo-cc0603jrx7r9bb221_C327270.html" TargetMode="External"/><Relationship Id="rId24" Type="http://schemas.openxmlformats.org/officeDocument/2006/relationships/hyperlink" Target="https://www.lcsc.com/product-detail/through-hole-resistors_yageo-fmp200jr-52-1r_C1741654.html" TargetMode="External"/><Relationship Id="rId32" Type="http://schemas.openxmlformats.org/officeDocument/2006/relationships/hyperlink" Target="https://www.lcsc.com/product-detail/chip-resistor-surface-mount_yageo-rc0603fr-07100kl_C14675.html" TargetMode="External"/><Relationship Id="rId37" Type="http://schemas.openxmlformats.org/officeDocument/2006/relationships/hyperlink" Target="https://www.lcsc.com/product-detail/chip-resistor-surface-mount_yageo-rt0603brd0726k1l_C728586.html" TargetMode="External"/><Relationship Id="rId40" Type="http://schemas.openxmlformats.org/officeDocument/2006/relationships/hyperlink" Target="https://www.lcsc.com/product-detail/ac-dc-controllers-and-regulators_texas-instruments-lm5021mm-1-nopb_C202233.html" TargetMode="External"/><Relationship Id="rId45" Type="http://schemas.openxmlformats.org/officeDocument/2006/relationships/hyperlink" Target="https://www.chipsmall.com/Products/SFH11-PBPC-D12-RA-BK_12482478.html" TargetMode="External"/><Relationship Id="rId5" Type="http://schemas.openxmlformats.org/officeDocument/2006/relationships/hyperlink" Target="https://www.lcsc.com/product-detail/polypropylene-film-capacitors-cbb_kyet-kp103j1000vp15_C390160.html" TargetMode="External"/><Relationship Id="rId15" Type="http://schemas.openxmlformats.org/officeDocument/2006/relationships/hyperlink" Target="https://www.lcsc.com/product-detail/fast-recovery-high-efficiency-diodes_diodes-incorporated-us1k-13-f_C110532.html" TargetMode="External"/><Relationship Id="rId23" Type="http://schemas.openxmlformats.org/officeDocument/2006/relationships/hyperlink" Target="https://www.lcsc.com/product-detail/mosfets_infineon-technologies-ipd90r1k2c3_C386347.html" TargetMode="External"/><Relationship Id="rId28" Type="http://schemas.openxmlformats.org/officeDocument/2006/relationships/hyperlink" Target="https://www.lcsc.com/product-detail/chip-resistor-surface-mount_yageo-ac2512fk-0747kl_C728203.html" TargetMode="External"/><Relationship Id="rId36" Type="http://schemas.openxmlformats.org/officeDocument/2006/relationships/hyperlink" Target="https://www.lcsc.com/product-detail/chip-resistor-surface-mount_yageo-rl1206fr-7w0r75l_C859938.html" TargetMode="External"/><Relationship Id="rId10" Type="http://schemas.openxmlformats.org/officeDocument/2006/relationships/hyperlink" Target="https://www.lcsc.com/product-detail/multilayer-ceramic-capacitors-mlcc-smd-smt_yageo-cc0603krx7r8bb224_C106857.html" TargetMode="External"/><Relationship Id="rId19" Type="http://schemas.openxmlformats.org/officeDocument/2006/relationships/hyperlink" Target="https://www.lcsc.com/product-detail/fuseholders_littelfuse-01550900m_C108518.html" TargetMode="External"/><Relationship Id="rId31" Type="http://schemas.openxmlformats.org/officeDocument/2006/relationships/hyperlink" Target="https://www.lcsc.com/product-detail/chip-resistor-surface-mount_yageo-rc0805fr-070rl_C100045.html" TargetMode="External"/><Relationship Id="rId44" Type="http://schemas.openxmlformats.org/officeDocument/2006/relationships/hyperlink" Target="https://www.chipsmall.com/Products/CC1206KKX7RBBB223_11665884.html" TargetMode="External"/><Relationship Id="rId4" Type="http://schemas.openxmlformats.org/officeDocument/2006/relationships/hyperlink" Target="https://www.lcsc.com/product-detail/multilayer-ceramic-capacitors-mlcc-smd-smt_murata-electronics-grm31br73a102kw01l_C97941.html" TargetMode="External"/><Relationship Id="rId9" Type="http://schemas.openxmlformats.org/officeDocument/2006/relationships/hyperlink" Target="https://www.lcsc.com/product-detail/multilayer-ceramic-capacitors-mlcc-smd-smt_yageo-cc0603krx7r9bb105_C559769.html" TargetMode="External"/><Relationship Id="rId14" Type="http://schemas.openxmlformats.org/officeDocument/2006/relationships/hyperlink" Target="https://www.lcsc.com/product-detail/zener-diodes_diodes-incorporated-mmsz5245b-7-f_C177050.html" TargetMode="External"/><Relationship Id="rId22" Type="http://schemas.openxmlformats.org/officeDocument/2006/relationships/hyperlink" Target="https://www.lcsc.com/product-detail/power-inductors_sxn-shun-xiang-nuo-elec-pk0810-471mb_C400319.html" TargetMode="External"/><Relationship Id="rId27" Type="http://schemas.openxmlformats.org/officeDocument/2006/relationships/hyperlink" Target="https://www.lcsc.com/product-detail/chip-resistor-surface-mount_yageo-ac2010fk-07100rl_C138240.html" TargetMode="External"/><Relationship Id="rId30" Type="http://schemas.openxmlformats.org/officeDocument/2006/relationships/hyperlink" Target="https://www.lcsc.com/product-detail/chip-resistor-surface-mount_yageo-rc0603fr-0749r9l_C114625.html" TargetMode="External"/><Relationship Id="rId35" Type="http://schemas.openxmlformats.org/officeDocument/2006/relationships/hyperlink" Target="https://www.lcsc.com/product-detail/chip-resistor-surface-mount_yageo-rt0603brd0766k5l_C861515.html" TargetMode="External"/><Relationship Id="rId43" Type="http://schemas.openxmlformats.org/officeDocument/2006/relationships/hyperlink" Target="https://www.lcsc.com/product-detail/Safety-Capacitors_TDK-B32921C3104M000_C361368.html?s_z=n_C361368" TargetMode="External"/><Relationship Id="rId8" Type="http://schemas.openxmlformats.org/officeDocument/2006/relationships/hyperlink" Target="https://www.lcsc.com/product-detail/multilayer-ceramic-capacitors-mlcc-smd-smt_yageo-cc0603krx7r9bb103_C100042.html" TargetMode="External"/><Relationship Id="rId3" Type="http://schemas.openxmlformats.org/officeDocument/2006/relationships/hyperlink" Target="https://www.lcsc.com/product-detail/aluminum-electrolytic-capacitors-smd_panasonic-eeefk1e680p_C336242.html" TargetMode="External"/><Relationship Id="rId12" Type="http://schemas.openxmlformats.org/officeDocument/2006/relationships/hyperlink" Target="https://www.lcsc.com/product-detail/multilayer-ceramic-capacitors-mlcc-smd-smt_murata-electronics-gqm1875c2e510fb12d_C17504198.html" TargetMode="External"/><Relationship Id="rId17" Type="http://schemas.openxmlformats.org/officeDocument/2006/relationships/hyperlink" Target="https://www.lcsc.com/product-detail/disposable-fuses_littelfuse-045301-5mr_C178994.html" TargetMode="External"/><Relationship Id="rId25" Type="http://schemas.openxmlformats.org/officeDocument/2006/relationships/hyperlink" Target="https://www.lcsc.com/product-detail/chip-resistor-surface-mount_yageo-ac1206fr-7w10kl_C326700.html" TargetMode="External"/><Relationship Id="rId33" Type="http://schemas.openxmlformats.org/officeDocument/2006/relationships/hyperlink" Target="https://www.lcsc.com/product-detail/chip-resistor-surface-mount_yageo-rc0603fr-074k99l_C114621.html" TargetMode="External"/><Relationship Id="rId38" Type="http://schemas.openxmlformats.org/officeDocument/2006/relationships/hyperlink" Target="https://www.lcsc.com/product-detail/chip-resistor-surface-mount_vishay-intertech-crcw2512200kfkeg_C2078538.html" TargetMode="External"/><Relationship Id="rId46" Type="http://schemas.openxmlformats.org/officeDocument/2006/relationships/hyperlink" Target="https://www.lcsc.com/product-detail/Chip-Resistor-Surface-Mount_FOJAN-FRC2512J102-TS_C2960674.html" TargetMode="External"/><Relationship Id="rId20" Type="http://schemas.openxmlformats.org/officeDocument/2006/relationships/hyperlink" Target="https://www.lcsc.com/product-detail/pluggable-system-terminal-block_dorabo-db2er-5-08-4p-gn_C395752.html" TargetMode="External"/><Relationship Id="rId41" Type="http://schemas.openxmlformats.org/officeDocument/2006/relationships/hyperlink" Target="https://www.lcsc.com/product-detail/transistor-photovoltaic-output-optoisolators_onsemi-fod817a_C90090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68"/>
  <sheetViews>
    <sheetView tabSelected="1" workbookViewId="0">
      <selection activeCell="E63" sqref="E63"/>
    </sheetView>
  </sheetViews>
  <sheetFormatPr defaultRowHeight="1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13.42578125" bestFit="1" customWidth="1"/>
    <col min="16" max="16" width="19.7109375" bestFit="1" customWidth="1"/>
    <col min="17" max="17" width="20.28515625" bestFit="1" customWidth="1"/>
    <col min="18" max="18" width="16.5703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2"/>
      <c r="L1" s="42"/>
      <c r="M1" s="42"/>
      <c r="N1" s="42"/>
      <c r="O1" s="42"/>
      <c r="P1" s="42"/>
      <c r="Q1" s="42"/>
      <c r="R1" s="42"/>
    </row>
    <row r="2" spans="1:18" ht="32.25" thickBot="1">
      <c r="A2" s="1"/>
      <c r="B2" s="7"/>
      <c r="C2" s="13"/>
      <c r="D2" s="4" t="s">
        <v>0</v>
      </c>
      <c r="E2" s="4"/>
      <c r="F2" s="40" t="s">
        <v>279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280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25</v>
      </c>
      <c r="E7" s="12" t="s">
        <v>73</v>
      </c>
      <c r="F7" s="12" t="s">
        <v>120</v>
      </c>
      <c r="G7" s="12" t="s">
        <v>148</v>
      </c>
      <c r="H7" s="12" t="s">
        <v>185</v>
      </c>
      <c r="I7" s="12" t="s">
        <v>281</v>
      </c>
      <c r="J7" s="12" t="s">
        <v>205</v>
      </c>
      <c r="K7" s="12" t="s">
        <v>282</v>
      </c>
      <c r="L7" s="12" t="s">
        <v>278</v>
      </c>
      <c r="M7" s="12" t="s">
        <v>283</v>
      </c>
      <c r="N7" s="12" t="s">
        <v>284</v>
      </c>
      <c r="O7" s="12" t="s">
        <v>285</v>
      </c>
      <c r="P7" s="12" t="s">
        <v>286</v>
      </c>
      <c r="Q7" s="12" t="s">
        <v>287</v>
      </c>
      <c r="R7" s="12" t="s">
        <v>288</v>
      </c>
    </row>
    <row r="8" spans="1:18" ht="24">
      <c r="A8" s="1"/>
      <c r="B8" s="16">
        <f>ROW(B8) - ROW($B$7)</f>
        <v>1</v>
      </c>
      <c r="C8" s="22" t="s">
        <v>6</v>
      </c>
      <c r="D8" s="14" t="s">
        <v>26</v>
      </c>
      <c r="E8" s="14" t="s">
        <v>74</v>
      </c>
      <c r="F8" s="14" t="s">
        <v>121</v>
      </c>
      <c r="G8" s="14" t="s">
        <v>149</v>
      </c>
      <c r="H8" s="14" t="s">
        <v>186</v>
      </c>
      <c r="I8" s="14" t="s">
        <v>289</v>
      </c>
      <c r="J8" s="14" t="s">
        <v>206</v>
      </c>
      <c r="K8" s="45" t="s">
        <v>289</v>
      </c>
      <c r="L8" s="14">
        <v>2</v>
      </c>
      <c r="M8" s="14">
        <f>L8*10</f>
        <v>20</v>
      </c>
      <c r="N8" s="14">
        <v>25</v>
      </c>
      <c r="O8" s="47" t="s">
        <v>313</v>
      </c>
      <c r="P8" s="15" t="s">
        <v>291</v>
      </c>
      <c r="Q8" s="15">
        <f>P8*N8</f>
        <v>2.13</v>
      </c>
      <c r="R8" s="14"/>
    </row>
    <row r="9" spans="1:18">
      <c r="A9" s="1"/>
      <c r="B9" s="17">
        <f t="shared" ref="B9:B53" si="0">ROW(B9) - ROW($B$7)</f>
        <v>2</v>
      </c>
      <c r="C9" s="23" t="s">
        <v>7</v>
      </c>
      <c r="D9" s="20" t="s">
        <v>27</v>
      </c>
      <c r="E9" s="20" t="s">
        <v>75</v>
      </c>
      <c r="F9" s="20" t="s">
        <v>290</v>
      </c>
      <c r="G9" s="20" t="s">
        <v>122</v>
      </c>
      <c r="H9" s="20" t="s">
        <v>187</v>
      </c>
      <c r="I9" s="14" t="s">
        <v>289</v>
      </c>
      <c r="J9" s="20" t="s">
        <v>207</v>
      </c>
      <c r="K9" s="46" t="s">
        <v>249</v>
      </c>
      <c r="L9" s="20">
        <v>3</v>
      </c>
      <c r="M9" s="14">
        <f t="shared" ref="M9:M54" si="1">L9*10</f>
        <v>30</v>
      </c>
      <c r="N9" s="20">
        <v>35</v>
      </c>
      <c r="O9" s="47" t="s">
        <v>313</v>
      </c>
      <c r="P9" s="21">
        <v>0.21310000000000001</v>
      </c>
      <c r="Q9" s="21">
        <f t="shared" ref="Q9" si="2">P9*N9</f>
        <v>7.4585000000000008</v>
      </c>
      <c r="R9" s="20"/>
    </row>
    <row r="10" spans="1:18" ht="36">
      <c r="A10" s="1"/>
      <c r="B10" s="16">
        <f>ROW(B10) - ROW($B$7)</f>
        <v>3</v>
      </c>
      <c r="C10" s="22" t="s">
        <v>8</v>
      </c>
      <c r="D10" s="14" t="s">
        <v>28</v>
      </c>
      <c r="E10" s="14" t="s">
        <v>76</v>
      </c>
      <c r="F10" s="20" t="s">
        <v>290</v>
      </c>
      <c r="G10" s="14" t="s">
        <v>123</v>
      </c>
      <c r="H10" s="14" t="s">
        <v>188</v>
      </c>
      <c r="I10" s="14" t="s">
        <v>289</v>
      </c>
      <c r="J10" s="14" t="s">
        <v>208</v>
      </c>
      <c r="K10" s="45" t="s">
        <v>250</v>
      </c>
      <c r="L10" s="14">
        <v>2</v>
      </c>
      <c r="M10" s="14">
        <f t="shared" si="1"/>
        <v>20</v>
      </c>
      <c r="N10" s="14">
        <v>21</v>
      </c>
      <c r="O10" s="47" t="s">
        <v>313</v>
      </c>
      <c r="P10" s="15" t="s">
        <v>292</v>
      </c>
      <c r="Q10" s="15">
        <f>P10*N10</f>
        <v>5.4222000000000001</v>
      </c>
      <c r="R10" s="14"/>
    </row>
    <row r="11" spans="1:18">
      <c r="A11" s="1"/>
      <c r="B11" s="17">
        <f t="shared" si="0"/>
        <v>4</v>
      </c>
      <c r="C11" s="23" t="s">
        <v>8</v>
      </c>
      <c r="D11" s="20" t="s">
        <v>29</v>
      </c>
      <c r="E11" s="20" t="s">
        <v>77</v>
      </c>
      <c r="F11" s="20" t="s">
        <v>290</v>
      </c>
      <c r="G11" s="20" t="s">
        <v>150</v>
      </c>
      <c r="H11" s="20" t="s">
        <v>189</v>
      </c>
      <c r="I11" s="14" t="s">
        <v>289</v>
      </c>
      <c r="J11" s="20" t="s">
        <v>209</v>
      </c>
      <c r="K11" s="46" t="s">
        <v>251</v>
      </c>
      <c r="L11" s="20">
        <v>4</v>
      </c>
      <c r="M11" s="14">
        <f t="shared" si="1"/>
        <v>40</v>
      </c>
      <c r="N11" s="20">
        <v>45</v>
      </c>
      <c r="O11" s="47" t="s">
        <v>313</v>
      </c>
      <c r="P11" s="21" t="s">
        <v>293</v>
      </c>
      <c r="Q11" s="21">
        <f t="shared" ref="Q11" si="3">P11*N11</f>
        <v>8.5229999999999997</v>
      </c>
      <c r="R11" s="20"/>
    </row>
    <row r="12" spans="1:18">
      <c r="A12" s="1"/>
      <c r="B12" s="16">
        <f>ROW(B12) - ROW($B$7)</f>
        <v>5</v>
      </c>
      <c r="C12" s="22" t="s">
        <v>9</v>
      </c>
      <c r="D12" s="14" t="s">
        <v>30</v>
      </c>
      <c r="E12" s="14" t="s">
        <v>78</v>
      </c>
      <c r="F12" s="14" t="s">
        <v>124</v>
      </c>
      <c r="G12" s="14" t="s">
        <v>151</v>
      </c>
      <c r="H12" s="14" t="s">
        <v>190</v>
      </c>
      <c r="I12" s="14" t="s">
        <v>289</v>
      </c>
      <c r="J12" s="14" t="s">
        <v>210</v>
      </c>
      <c r="K12" s="45" t="s">
        <v>252</v>
      </c>
      <c r="L12" s="14">
        <v>1</v>
      </c>
      <c r="M12" s="14">
        <f t="shared" si="1"/>
        <v>10</v>
      </c>
      <c r="N12" s="14" t="s">
        <v>310</v>
      </c>
      <c r="O12" s="47" t="s">
        <v>313</v>
      </c>
      <c r="P12" s="15" t="s">
        <v>294</v>
      </c>
      <c r="Q12" s="15">
        <f>P12*N12</f>
        <v>0.47600000000000003</v>
      </c>
      <c r="R12" s="14"/>
    </row>
    <row r="13" spans="1:18" ht="36">
      <c r="A13" s="1"/>
      <c r="B13" s="17">
        <f t="shared" si="0"/>
        <v>6</v>
      </c>
      <c r="C13" s="23" t="s">
        <v>8</v>
      </c>
      <c r="D13" s="20" t="s">
        <v>31</v>
      </c>
      <c r="E13" s="20" t="s">
        <v>79</v>
      </c>
      <c r="F13" s="20" t="s">
        <v>290</v>
      </c>
      <c r="G13" s="20" t="s">
        <v>125</v>
      </c>
      <c r="H13" s="20" t="s">
        <v>191</v>
      </c>
      <c r="I13" s="14" t="s">
        <v>289</v>
      </c>
      <c r="J13" s="20" t="s">
        <v>211</v>
      </c>
      <c r="K13" s="46" t="s">
        <v>253</v>
      </c>
      <c r="L13" s="20">
        <v>1</v>
      </c>
      <c r="M13" s="14">
        <f t="shared" si="1"/>
        <v>10</v>
      </c>
      <c r="N13" s="20">
        <v>15</v>
      </c>
      <c r="O13" s="47" t="s">
        <v>313</v>
      </c>
      <c r="P13" s="21" t="s">
        <v>295</v>
      </c>
      <c r="Q13" s="21">
        <f t="shared" ref="Q13" si="4">P13*N13</f>
        <v>2.3414999999999999</v>
      </c>
      <c r="R13" s="20"/>
    </row>
    <row r="14" spans="1:18">
      <c r="A14" s="1"/>
      <c r="B14" s="16">
        <f>ROW(B14) - ROW($B$7)</f>
        <v>7</v>
      </c>
      <c r="C14" s="22" t="s">
        <v>9</v>
      </c>
      <c r="D14" s="14" t="s">
        <v>32</v>
      </c>
      <c r="E14" s="14" t="s">
        <v>80</v>
      </c>
      <c r="F14" s="20" t="s">
        <v>290</v>
      </c>
      <c r="G14" s="14" t="s">
        <v>126</v>
      </c>
      <c r="H14" s="14" t="s">
        <v>192</v>
      </c>
      <c r="I14" s="14" t="s">
        <v>289</v>
      </c>
      <c r="J14" s="14" t="s">
        <v>212</v>
      </c>
      <c r="K14" s="45" t="s">
        <v>252</v>
      </c>
      <c r="L14" s="14">
        <v>1</v>
      </c>
      <c r="M14" s="14">
        <f t="shared" si="1"/>
        <v>10</v>
      </c>
      <c r="N14" s="14">
        <v>15</v>
      </c>
      <c r="O14" s="47" t="s">
        <v>313</v>
      </c>
      <c r="P14" s="15" t="s">
        <v>296</v>
      </c>
      <c r="Q14" s="15">
        <f>P14*N14</f>
        <v>1.9544999999999999</v>
      </c>
      <c r="R14" s="14"/>
    </row>
    <row r="15" spans="1:18">
      <c r="A15" s="1"/>
      <c r="B15" s="17">
        <f t="shared" si="0"/>
        <v>8</v>
      </c>
      <c r="C15" s="23" t="s">
        <v>10</v>
      </c>
      <c r="D15" s="20" t="s">
        <v>33</v>
      </c>
      <c r="E15" s="20" t="s">
        <v>81</v>
      </c>
      <c r="F15" s="20" t="s">
        <v>127</v>
      </c>
      <c r="G15" s="20" t="s">
        <v>152</v>
      </c>
      <c r="H15" s="20" t="s">
        <v>193</v>
      </c>
      <c r="I15" s="14" t="s">
        <v>289</v>
      </c>
      <c r="J15" s="20" t="s">
        <v>213</v>
      </c>
      <c r="K15" s="46" t="s">
        <v>254</v>
      </c>
      <c r="L15" s="20">
        <v>1</v>
      </c>
      <c r="M15" s="14">
        <f t="shared" si="1"/>
        <v>10</v>
      </c>
      <c r="N15" s="20">
        <v>15</v>
      </c>
      <c r="O15" s="47" t="s">
        <v>313</v>
      </c>
      <c r="P15" s="21" t="s">
        <v>297</v>
      </c>
      <c r="Q15" s="21">
        <f t="shared" ref="Q15" si="5">P15*N15</f>
        <v>3.9855</v>
      </c>
      <c r="R15" s="20"/>
    </row>
    <row r="16" spans="1:18">
      <c r="A16" s="1"/>
      <c r="B16" s="16">
        <f>ROW(B16) - ROW($B$7)</f>
        <v>9</v>
      </c>
      <c r="C16" s="23" t="s">
        <v>8</v>
      </c>
      <c r="D16" s="14" t="s">
        <v>34</v>
      </c>
      <c r="E16" s="14" t="s">
        <v>82</v>
      </c>
      <c r="F16" s="14" t="s">
        <v>128</v>
      </c>
      <c r="G16" s="14" t="s">
        <v>153</v>
      </c>
      <c r="H16" s="14" t="s">
        <v>194</v>
      </c>
      <c r="I16" s="14" t="s">
        <v>289</v>
      </c>
      <c r="J16" s="14" t="s">
        <v>214</v>
      </c>
      <c r="K16" s="45" t="s">
        <v>255</v>
      </c>
      <c r="L16" s="14">
        <v>1</v>
      </c>
      <c r="M16" s="14">
        <f t="shared" si="1"/>
        <v>10</v>
      </c>
      <c r="N16" s="14" t="s">
        <v>311</v>
      </c>
      <c r="O16" s="47" t="s">
        <v>313</v>
      </c>
      <c r="P16" s="15" t="s">
        <v>298</v>
      </c>
      <c r="Q16" s="15">
        <f>P16*N16</f>
        <v>0.22</v>
      </c>
      <c r="R16" s="14"/>
    </row>
    <row r="17" spans="1:18">
      <c r="A17" s="1"/>
      <c r="B17" s="17">
        <f t="shared" si="0"/>
        <v>10</v>
      </c>
      <c r="C17" s="23" t="s">
        <v>9</v>
      </c>
      <c r="D17" s="20" t="s">
        <v>35</v>
      </c>
      <c r="E17" s="20" t="s">
        <v>83</v>
      </c>
      <c r="F17" s="20" t="s">
        <v>128</v>
      </c>
      <c r="G17" s="20" t="s">
        <v>154</v>
      </c>
      <c r="H17" s="20" t="s">
        <v>194</v>
      </c>
      <c r="I17" s="14" t="s">
        <v>289</v>
      </c>
      <c r="J17" s="20" t="s">
        <v>215</v>
      </c>
      <c r="K17" s="46" t="s">
        <v>256</v>
      </c>
      <c r="L17" s="20">
        <v>2</v>
      </c>
      <c r="M17" s="14">
        <f t="shared" si="1"/>
        <v>20</v>
      </c>
      <c r="N17" s="20">
        <v>40</v>
      </c>
      <c r="O17" s="47" t="s">
        <v>313</v>
      </c>
      <c r="P17" s="21" t="s">
        <v>299</v>
      </c>
      <c r="Q17" s="21">
        <f t="shared" ref="Q17" si="6">P17*N17</f>
        <v>1.028</v>
      </c>
      <c r="R17" s="20"/>
    </row>
    <row r="18" spans="1:18">
      <c r="A18" s="1"/>
      <c r="B18" s="16">
        <f>ROW(B18) - ROW($B$7)</f>
        <v>11</v>
      </c>
      <c r="C18" s="22" t="s">
        <v>9</v>
      </c>
      <c r="D18" s="14" t="s">
        <v>36</v>
      </c>
      <c r="E18" s="14" t="s">
        <v>84</v>
      </c>
      <c r="F18" s="14" t="s">
        <v>128</v>
      </c>
      <c r="G18" s="14" t="s">
        <v>155</v>
      </c>
      <c r="H18" s="14" t="s">
        <v>194</v>
      </c>
      <c r="I18" s="14" t="s">
        <v>289</v>
      </c>
      <c r="J18" s="14" t="s">
        <v>216</v>
      </c>
      <c r="K18" s="45" t="s">
        <v>257</v>
      </c>
      <c r="L18" s="14">
        <v>1</v>
      </c>
      <c r="M18" s="14">
        <f t="shared" si="1"/>
        <v>10</v>
      </c>
      <c r="N18" s="14" t="s">
        <v>312</v>
      </c>
      <c r="O18" s="47" t="s">
        <v>313</v>
      </c>
      <c r="P18" s="15" t="s">
        <v>300</v>
      </c>
      <c r="Q18" s="15">
        <f>P18*N18</f>
        <v>0.39500000000000002</v>
      </c>
      <c r="R18" s="14"/>
    </row>
    <row r="19" spans="1:18">
      <c r="A19" s="1"/>
      <c r="B19" s="17">
        <f t="shared" si="0"/>
        <v>12</v>
      </c>
      <c r="C19" s="23" t="s">
        <v>9</v>
      </c>
      <c r="D19" s="20" t="s">
        <v>37</v>
      </c>
      <c r="E19" s="20" t="s">
        <v>85</v>
      </c>
      <c r="F19" s="20" t="s">
        <v>128</v>
      </c>
      <c r="G19" s="20" t="s">
        <v>156</v>
      </c>
      <c r="H19" s="20" t="s">
        <v>194</v>
      </c>
      <c r="I19" s="14" t="s">
        <v>289</v>
      </c>
      <c r="J19" s="20" t="s">
        <v>217</v>
      </c>
      <c r="K19" s="46" t="s">
        <v>258</v>
      </c>
      <c r="L19" s="20">
        <v>1</v>
      </c>
      <c r="M19" s="14">
        <f t="shared" si="1"/>
        <v>10</v>
      </c>
      <c r="N19" s="20" t="s">
        <v>311</v>
      </c>
      <c r="O19" s="47" t="s">
        <v>313</v>
      </c>
      <c r="P19" s="21" t="s">
        <v>301</v>
      </c>
      <c r="Q19" s="21">
        <f t="shared" ref="Q19" si="7">P19*N19</f>
        <v>0.42</v>
      </c>
      <c r="R19" s="20"/>
    </row>
    <row r="20" spans="1:18" ht="24">
      <c r="A20" s="1"/>
      <c r="B20" s="16">
        <f>ROW(B20) - ROW($B$7)</f>
        <v>13</v>
      </c>
      <c r="C20" s="22" t="s">
        <v>9</v>
      </c>
      <c r="D20" s="14" t="s">
        <v>38</v>
      </c>
      <c r="E20" s="14" t="s">
        <v>86</v>
      </c>
      <c r="F20" s="14" t="s">
        <v>128</v>
      </c>
      <c r="G20" s="14" t="s">
        <v>157</v>
      </c>
      <c r="H20" s="14" t="s">
        <v>190</v>
      </c>
      <c r="I20" s="14" t="s">
        <v>289</v>
      </c>
      <c r="J20" s="14" t="s">
        <v>218</v>
      </c>
      <c r="K20" s="45" t="s">
        <v>259</v>
      </c>
      <c r="L20" s="14">
        <v>3</v>
      </c>
      <c r="M20" s="14">
        <f t="shared" si="1"/>
        <v>30</v>
      </c>
      <c r="N20" s="14">
        <v>32</v>
      </c>
      <c r="O20" s="47" t="s">
        <v>313</v>
      </c>
      <c r="P20" s="15" t="s">
        <v>302</v>
      </c>
      <c r="Q20" s="15">
        <f>P20*N20</f>
        <v>5.1391999999999998</v>
      </c>
      <c r="R20" s="14"/>
    </row>
    <row r="21" spans="1:18">
      <c r="A21" s="1"/>
      <c r="B21" s="17">
        <f t="shared" si="0"/>
        <v>14</v>
      </c>
      <c r="C21" s="23" t="s">
        <v>9</v>
      </c>
      <c r="D21" s="20" t="s">
        <v>39</v>
      </c>
      <c r="E21" s="20" t="s">
        <v>87</v>
      </c>
      <c r="F21" s="20" t="s">
        <v>124</v>
      </c>
      <c r="G21" s="20" t="s">
        <v>158</v>
      </c>
      <c r="H21" s="20" t="s">
        <v>194</v>
      </c>
      <c r="I21" s="14" t="s">
        <v>289</v>
      </c>
      <c r="J21" s="20" t="s">
        <v>289</v>
      </c>
      <c r="K21" s="46" t="s">
        <v>260</v>
      </c>
      <c r="L21" s="20">
        <v>6</v>
      </c>
      <c r="M21" s="14">
        <f t="shared" si="1"/>
        <v>60</v>
      </c>
      <c r="N21" s="20">
        <v>61</v>
      </c>
      <c r="O21" s="47" t="s">
        <v>337</v>
      </c>
      <c r="P21" s="21">
        <v>2.1000000000000001E-2</v>
      </c>
      <c r="Q21" s="21">
        <f t="shared" ref="Q21" si="8">P21*N21</f>
        <v>1.2810000000000001</v>
      </c>
      <c r="R21" s="20"/>
    </row>
    <row r="22" spans="1:18" ht="24">
      <c r="A22" s="1"/>
      <c r="B22" s="16">
        <f>ROW(B22) - ROW($B$7)</f>
        <v>15</v>
      </c>
      <c r="C22" s="22" t="s">
        <v>11</v>
      </c>
      <c r="D22" s="14" t="s">
        <v>40</v>
      </c>
      <c r="E22" s="14" t="s">
        <v>88</v>
      </c>
      <c r="F22" s="14" t="s">
        <v>129</v>
      </c>
      <c r="G22" s="14" t="s">
        <v>159</v>
      </c>
      <c r="H22" s="14" t="s">
        <v>195</v>
      </c>
      <c r="I22" s="14" t="s">
        <v>289</v>
      </c>
      <c r="J22" s="14" t="s">
        <v>219</v>
      </c>
      <c r="K22" s="45" t="s">
        <v>289</v>
      </c>
      <c r="L22" s="14">
        <v>1</v>
      </c>
      <c r="M22" s="14">
        <f t="shared" si="1"/>
        <v>10</v>
      </c>
      <c r="N22" s="14">
        <v>11</v>
      </c>
      <c r="O22" s="47" t="s">
        <v>313</v>
      </c>
      <c r="P22" s="15" t="s">
        <v>303</v>
      </c>
      <c r="Q22" s="15">
        <f>P22*N22</f>
        <v>9.1476000000000006</v>
      </c>
      <c r="R22" s="14"/>
    </row>
    <row r="23" spans="1:18">
      <c r="A23" s="1"/>
      <c r="B23" s="17">
        <f t="shared" si="0"/>
        <v>16</v>
      </c>
      <c r="C23" s="23" t="s">
        <v>11</v>
      </c>
      <c r="D23" s="20" t="s">
        <v>41</v>
      </c>
      <c r="E23" s="20" t="s">
        <v>89</v>
      </c>
      <c r="F23" s="20" t="s">
        <v>130</v>
      </c>
      <c r="G23" s="20" t="s">
        <v>160</v>
      </c>
      <c r="H23" s="20" t="s">
        <v>11</v>
      </c>
      <c r="I23" s="14" t="s">
        <v>289</v>
      </c>
      <c r="J23" s="20" t="s">
        <v>220</v>
      </c>
      <c r="K23" s="46" t="s">
        <v>261</v>
      </c>
      <c r="L23" s="20">
        <v>1</v>
      </c>
      <c r="M23" s="14">
        <f t="shared" si="1"/>
        <v>10</v>
      </c>
      <c r="N23" s="20" t="s">
        <v>310</v>
      </c>
      <c r="O23" s="47" t="s">
        <v>313</v>
      </c>
      <c r="P23" s="21" t="s">
        <v>304</v>
      </c>
      <c r="Q23" s="21">
        <f t="shared" ref="Q23" si="9">P23*N23</f>
        <v>0.57000000000000006</v>
      </c>
      <c r="R23" s="20"/>
    </row>
    <row r="24" spans="1:18">
      <c r="A24" s="1"/>
      <c r="B24" s="16">
        <f>ROW(B24) - ROW($B$7)</f>
        <v>17</v>
      </c>
      <c r="C24" s="22" t="s">
        <v>11</v>
      </c>
      <c r="D24" s="14" t="s">
        <v>42</v>
      </c>
      <c r="E24" s="14" t="s">
        <v>90</v>
      </c>
      <c r="F24" s="14" t="s">
        <v>131</v>
      </c>
      <c r="G24" s="14" t="s">
        <v>161</v>
      </c>
      <c r="H24" s="14" t="s">
        <v>11</v>
      </c>
      <c r="I24" s="14" t="s">
        <v>289</v>
      </c>
      <c r="J24" s="14" t="s">
        <v>221</v>
      </c>
      <c r="K24" s="45" t="s">
        <v>289</v>
      </c>
      <c r="L24" s="14">
        <v>1</v>
      </c>
      <c r="M24" s="14">
        <f t="shared" si="1"/>
        <v>10</v>
      </c>
      <c r="N24" s="14">
        <v>20</v>
      </c>
      <c r="O24" s="47" t="s">
        <v>313</v>
      </c>
      <c r="P24" s="15" t="s">
        <v>305</v>
      </c>
      <c r="Q24" s="15">
        <f>P24*N24</f>
        <v>1.1400000000000001</v>
      </c>
      <c r="R24" s="14"/>
    </row>
    <row r="25" spans="1:18">
      <c r="A25" s="1"/>
      <c r="B25" s="17">
        <f t="shared" si="0"/>
        <v>18</v>
      </c>
      <c r="C25" s="23" t="s">
        <v>11</v>
      </c>
      <c r="D25" s="20" t="s">
        <v>43</v>
      </c>
      <c r="E25" s="20" t="s">
        <v>91</v>
      </c>
      <c r="F25" s="20" t="s">
        <v>131</v>
      </c>
      <c r="G25" s="20" t="s">
        <v>162</v>
      </c>
      <c r="H25" s="20" t="s">
        <v>11</v>
      </c>
      <c r="I25" s="14" t="s">
        <v>289</v>
      </c>
      <c r="J25" s="20" t="s">
        <v>222</v>
      </c>
      <c r="K25" s="45" t="s">
        <v>289</v>
      </c>
      <c r="L25" s="20">
        <v>1</v>
      </c>
      <c r="M25" s="14">
        <f t="shared" si="1"/>
        <v>10</v>
      </c>
      <c r="N25" s="20">
        <v>15</v>
      </c>
      <c r="O25" s="47" t="s">
        <v>313</v>
      </c>
      <c r="P25" s="21" t="s">
        <v>306</v>
      </c>
      <c r="Q25" s="21">
        <f t="shared" ref="Q25" si="10">P25*N25</f>
        <v>2.3220000000000001</v>
      </c>
      <c r="R25" s="20"/>
    </row>
    <row r="26" spans="1:18">
      <c r="A26" s="1"/>
      <c r="B26" s="16">
        <f>ROW(B26) - ROW($B$7)</f>
        <v>19</v>
      </c>
      <c r="C26" s="22" t="s">
        <v>12</v>
      </c>
      <c r="D26" s="14" t="s">
        <v>44</v>
      </c>
      <c r="E26" s="14" t="s">
        <v>92</v>
      </c>
      <c r="F26" s="20" t="s">
        <v>290</v>
      </c>
      <c r="G26" s="14" t="s">
        <v>163</v>
      </c>
      <c r="H26" s="14" t="s">
        <v>196</v>
      </c>
      <c r="I26" s="14" t="s">
        <v>289</v>
      </c>
      <c r="J26" s="14" t="s">
        <v>223</v>
      </c>
      <c r="K26" s="45" t="s">
        <v>289</v>
      </c>
      <c r="L26" s="14">
        <v>1</v>
      </c>
      <c r="M26" s="14">
        <f t="shared" si="1"/>
        <v>10</v>
      </c>
      <c r="N26" s="14">
        <v>15</v>
      </c>
      <c r="O26" s="47" t="s">
        <v>313</v>
      </c>
      <c r="P26" s="15" t="s">
        <v>307</v>
      </c>
      <c r="Q26" s="15">
        <f>P26*N26</f>
        <v>3.6644999999999999</v>
      </c>
      <c r="R26" s="14"/>
    </row>
    <row r="27" spans="1:18">
      <c r="A27" s="1"/>
      <c r="B27" s="17">
        <f t="shared" si="0"/>
        <v>20</v>
      </c>
      <c r="C27" s="23" t="s">
        <v>13</v>
      </c>
      <c r="D27" s="20" t="s">
        <v>45</v>
      </c>
      <c r="E27" s="20" t="s">
        <v>93</v>
      </c>
      <c r="F27" s="20" t="s">
        <v>132</v>
      </c>
      <c r="G27" s="20" t="s">
        <v>164</v>
      </c>
      <c r="H27" s="20" t="s">
        <v>190</v>
      </c>
      <c r="I27" s="14" t="s">
        <v>289</v>
      </c>
      <c r="J27" s="20" t="s">
        <v>224</v>
      </c>
      <c r="K27" s="45" t="s">
        <v>289</v>
      </c>
      <c r="L27" s="20">
        <v>4</v>
      </c>
      <c r="M27" s="14">
        <f t="shared" si="1"/>
        <v>40</v>
      </c>
      <c r="N27" s="20">
        <v>50</v>
      </c>
      <c r="O27" s="47" t="s">
        <v>313</v>
      </c>
      <c r="P27" s="21" t="s">
        <v>308</v>
      </c>
      <c r="Q27" s="21">
        <f t="shared" ref="Q27" si="11">P27*N27</f>
        <v>2.19</v>
      </c>
      <c r="R27" s="20"/>
    </row>
    <row r="28" spans="1:18">
      <c r="A28" s="1"/>
      <c r="B28" s="16">
        <f>ROW(B28) - ROW($B$7)</f>
        <v>21</v>
      </c>
      <c r="C28" s="22" t="s">
        <v>14</v>
      </c>
      <c r="D28" s="14" t="s">
        <v>46</v>
      </c>
      <c r="E28" s="14" t="s">
        <v>94</v>
      </c>
      <c r="F28" s="20" t="s">
        <v>290</v>
      </c>
      <c r="G28" s="14" t="s">
        <v>133</v>
      </c>
      <c r="H28" s="14" t="s">
        <v>196</v>
      </c>
      <c r="I28" s="14" t="s">
        <v>289</v>
      </c>
      <c r="J28" s="14" t="s">
        <v>225</v>
      </c>
      <c r="K28" s="45" t="s">
        <v>289</v>
      </c>
      <c r="L28" s="14">
        <v>1</v>
      </c>
      <c r="M28" s="14">
        <f t="shared" si="1"/>
        <v>10</v>
      </c>
      <c r="N28" s="14">
        <v>11</v>
      </c>
      <c r="O28" s="47" t="s">
        <v>313</v>
      </c>
      <c r="P28" s="15" t="s">
        <v>309</v>
      </c>
      <c r="Q28" s="15">
        <f>P28*N28</f>
        <v>3.1526000000000001</v>
      </c>
      <c r="R28" s="14"/>
    </row>
    <row r="29" spans="1:18">
      <c r="A29" s="1"/>
      <c r="B29" s="17">
        <f t="shared" si="0"/>
        <v>22</v>
      </c>
      <c r="C29" s="23" t="s">
        <v>15</v>
      </c>
      <c r="D29" s="20" t="s">
        <v>47</v>
      </c>
      <c r="E29" s="20" t="s">
        <v>95</v>
      </c>
      <c r="F29" s="20" t="s">
        <v>290</v>
      </c>
      <c r="G29" s="20" t="s">
        <v>134</v>
      </c>
      <c r="H29" s="20" t="s">
        <v>197</v>
      </c>
      <c r="I29" s="14" t="s">
        <v>289</v>
      </c>
      <c r="J29" s="20" t="s">
        <v>289</v>
      </c>
      <c r="K29" s="45" t="s">
        <v>289</v>
      </c>
      <c r="L29" s="20">
        <v>1</v>
      </c>
      <c r="M29" s="14">
        <f t="shared" si="1"/>
        <v>10</v>
      </c>
      <c r="N29" s="20">
        <v>11</v>
      </c>
      <c r="O29" s="47" t="s">
        <v>337</v>
      </c>
      <c r="P29" s="21">
        <v>1.8387</v>
      </c>
      <c r="Q29" s="21">
        <f t="shared" ref="Q29" si="12">P29*N29</f>
        <v>20.2257</v>
      </c>
      <c r="R29" s="20"/>
    </row>
    <row r="30" spans="1:18" ht="60">
      <c r="A30" s="1"/>
      <c r="B30" s="16">
        <f>ROW(B30) - ROW($B$7)</f>
        <v>23</v>
      </c>
      <c r="C30" s="22" t="s">
        <v>16</v>
      </c>
      <c r="D30" s="14" t="s">
        <v>48</v>
      </c>
      <c r="E30" s="14" t="s">
        <v>96</v>
      </c>
      <c r="F30" s="20" t="s">
        <v>290</v>
      </c>
      <c r="G30" s="14" t="s">
        <v>135</v>
      </c>
      <c r="H30" s="14" t="s">
        <v>198</v>
      </c>
      <c r="I30" s="14" t="s">
        <v>289</v>
      </c>
      <c r="J30" s="14" t="s">
        <v>226</v>
      </c>
      <c r="K30" s="45" t="s">
        <v>289</v>
      </c>
      <c r="L30" s="14">
        <v>1</v>
      </c>
      <c r="M30" s="14">
        <f t="shared" si="1"/>
        <v>10</v>
      </c>
      <c r="N30" s="14">
        <v>15</v>
      </c>
      <c r="O30" s="47" t="s">
        <v>313</v>
      </c>
      <c r="P30" s="15" t="s">
        <v>314</v>
      </c>
      <c r="Q30" s="15">
        <f>P30*N30</f>
        <v>2.2650000000000001</v>
      </c>
      <c r="R30" s="14"/>
    </row>
    <row r="31" spans="1:18" ht="48">
      <c r="A31" s="1"/>
      <c r="B31" s="17">
        <f t="shared" si="0"/>
        <v>24</v>
      </c>
      <c r="C31" s="23" t="s">
        <v>16</v>
      </c>
      <c r="D31" s="20" t="s">
        <v>49</v>
      </c>
      <c r="E31" s="20" t="s">
        <v>97</v>
      </c>
      <c r="F31" s="20" t="s">
        <v>290</v>
      </c>
      <c r="G31" s="20" t="s">
        <v>165</v>
      </c>
      <c r="H31" s="20" t="s">
        <v>199</v>
      </c>
      <c r="I31" s="14" t="s">
        <v>289</v>
      </c>
      <c r="J31" s="20" t="s">
        <v>227</v>
      </c>
      <c r="K31" s="45" t="s">
        <v>289</v>
      </c>
      <c r="L31" s="20">
        <v>1</v>
      </c>
      <c r="M31" s="14">
        <f t="shared" si="1"/>
        <v>10</v>
      </c>
      <c r="N31" s="20">
        <v>11</v>
      </c>
      <c r="O31" s="47" t="s">
        <v>313</v>
      </c>
      <c r="P31" s="21" t="s">
        <v>315</v>
      </c>
      <c r="Q31" s="21">
        <f t="shared" ref="Q31" si="13">P31*N31</f>
        <v>3.7279</v>
      </c>
      <c r="R31" s="20"/>
    </row>
    <row r="32" spans="1:18" ht="24">
      <c r="A32" s="1"/>
      <c r="B32" s="16">
        <f>ROW(B32) - ROW($B$7)</f>
        <v>25</v>
      </c>
      <c r="C32" s="22" t="s">
        <v>17</v>
      </c>
      <c r="D32" s="14" t="s">
        <v>50</v>
      </c>
      <c r="E32" s="14" t="s">
        <v>98</v>
      </c>
      <c r="F32" s="20" t="s">
        <v>290</v>
      </c>
      <c r="G32" s="14" t="s">
        <v>136</v>
      </c>
      <c r="H32" s="14" t="s">
        <v>200</v>
      </c>
      <c r="I32" s="14" t="s">
        <v>289</v>
      </c>
      <c r="J32" s="14" t="s">
        <v>228</v>
      </c>
      <c r="K32" s="45" t="s">
        <v>262</v>
      </c>
      <c r="L32" s="14">
        <v>6</v>
      </c>
      <c r="M32" s="14">
        <f t="shared" si="1"/>
        <v>60</v>
      </c>
      <c r="N32" s="14">
        <v>65</v>
      </c>
      <c r="O32" s="47" t="s">
        <v>313</v>
      </c>
      <c r="P32" s="15" t="s">
        <v>316</v>
      </c>
      <c r="Q32" s="15">
        <f>P32*N32</f>
        <v>5.5964999999999998</v>
      </c>
      <c r="R32" s="14"/>
    </row>
    <row r="33" spans="1:18">
      <c r="A33" s="1"/>
      <c r="B33" s="17">
        <f t="shared" si="0"/>
        <v>26</v>
      </c>
      <c r="C33" s="23" t="s">
        <v>18</v>
      </c>
      <c r="D33" s="20" t="s">
        <v>51</v>
      </c>
      <c r="E33" s="46" t="s">
        <v>289</v>
      </c>
      <c r="F33" s="20" t="s">
        <v>290</v>
      </c>
      <c r="G33" s="46" t="s">
        <v>289</v>
      </c>
      <c r="H33" s="20"/>
      <c r="I33" s="14" t="s">
        <v>289</v>
      </c>
      <c r="J33" s="20" t="s">
        <v>289</v>
      </c>
      <c r="K33" s="46" t="s">
        <v>289</v>
      </c>
      <c r="L33" s="20">
        <v>1</v>
      </c>
      <c r="M33" s="14">
        <f t="shared" si="1"/>
        <v>10</v>
      </c>
      <c r="N33" s="20">
        <v>11</v>
      </c>
      <c r="O33" s="20" t="s">
        <v>289</v>
      </c>
      <c r="P33" s="21">
        <v>3</v>
      </c>
      <c r="Q33" s="21">
        <f t="shared" ref="Q33" si="14">P33*N33</f>
        <v>33</v>
      </c>
      <c r="R33" s="20"/>
    </row>
    <row r="34" spans="1:18" ht="24">
      <c r="A34" s="1"/>
      <c r="B34" s="16">
        <f>ROW(B34) - ROW($B$7)</f>
        <v>27</v>
      </c>
      <c r="C34" s="22" t="s">
        <v>19</v>
      </c>
      <c r="D34" s="14" t="s">
        <v>52</v>
      </c>
      <c r="E34" s="14" t="s">
        <v>99</v>
      </c>
      <c r="F34" s="14" t="s">
        <v>137</v>
      </c>
      <c r="G34" s="14" t="s">
        <v>166</v>
      </c>
      <c r="H34" s="14" t="s">
        <v>201</v>
      </c>
      <c r="I34" s="14" t="s">
        <v>289</v>
      </c>
      <c r="J34" s="14" t="s">
        <v>229</v>
      </c>
      <c r="K34" s="46" t="s">
        <v>289</v>
      </c>
      <c r="L34" s="14">
        <v>1</v>
      </c>
      <c r="M34" s="14">
        <f t="shared" si="1"/>
        <v>10</v>
      </c>
      <c r="N34" s="14">
        <v>11</v>
      </c>
      <c r="O34" s="47" t="s">
        <v>313</v>
      </c>
      <c r="P34" s="15" t="s">
        <v>317</v>
      </c>
      <c r="Q34" s="15">
        <f>P34*N34</f>
        <v>7.8759999999999994</v>
      </c>
      <c r="R34" s="14"/>
    </row>
    <row r="35" spans="1:18" ht="25.5">
      <c r="A35" s="1"/>
      <c r="B35" s="17">
        <f t="shared" si="0"/>
        <v>28</v>
      </c>
      <c r="C35" s="23" t="s">
        <v>20</v>
      </c>
      <c r="D35" s="20" t="s">
        <v>53</v>
      </c>
      <c r="E35" s="20" t="s">
        <v>100</v>
      </c>
      <c r="F35" s="20" t="s">
        <v>290</v>
      </c>
      <c r="G35" s="20" t="s">
        <v>138</v>
      </c>
      <c r="H35" s="20" t="s">
        <v>194</v>
      </c>
      <c r="I35" s="14" t="s">
        <v>289</v>
      </c>
      <c r="J35" s="20" t="s">
        <v>230</v>
      </c>
      <c r="K35" s="46" t="s">
        <v>263</v>
      </c>
      <c r="L35" s="20">
        <v>3</v>
      </c>
      <c r="M35" s="14">
        <f t="shared" si="1"/>
        <v>30</v>
      </c>
      <c r="N35" s="20">
        <v>40</v>
      </c>
      <c r="O35" s="47" t="s">
        <v>313</v>
      </c>
      <c r="P35" s="21" t="s">
        <v>318</v>
      </c>
      <c r="Q35" s="21">
        <f t="shared" ref="Q35" si="15">P35*N35</f>
        <v>2.6719999999999997</v>
      </c>
      <c r="R35" s="20"/>
    </row>
    <row r="36" spans="1:18">
      <c r="A36" s="1"/>
      <c r="B36" s="16">
        <f>ROW(B36) - ROW($B$7)</f>
        <v>29</v>
      </c>
      <c r="C36" s="22" t="s">
        <v>21</v>
      </c>
      <c r="D36" s="14" t="s">
        <v>54</v>
      </c>
      <c r="E36" s="14" t="s">
        <v>101</v>
      </c>
      <c r="F36" s="14" t="s">
        <v>139</v>
      </c>
      <c r="G36" s="14" t="s">
        <v>167</v>
      </c>
      <c r="H36" s="14" t="s">
        <v>194</v>
      </c>
      <c r="I36" s="14" t="s">
        <v>289</v>
      </c>
      <c r="J36" s="14" t="s">
        <v>231</v>
      </c>
      <c r="K36" s="45" t="s">
        <v>264</v>
      </c>
      <c r="L36" s="14">
        <v>6</v>
      </c>
      <c r="M36" s="14">
        <f t="shared" si="1"/>
        <v>60</v>
      </c>
      <c r="N36" s="14" t="s">
        <v>311</v>
      </c>
      <c r="O36" s="47" t="s">
        <v>313</v>
      </c>
      <c r="P36" s="15" t="s">
        <v>319</v>
      </c>
      <c r="Q36" s="15">
        <f>P36*N36</f>
        <v>1.04</v>
      </c>
      <c r="R36" s="14"/>
    </row>
    <row r="37" spans="1:18">
      <c r="A37" s="1"/>
      <c r="B37" s="17">
        <f t="shared" si="0"/>
        <v>30</v>
      </c>
      <c r="C37" s="23" t="s">
        <v>21</v>
      </c>
      <c r="D37" s="20" t="s">
        <v>55</v>
      </c>
      <c r="E37" s="20" t="s">
        <v>102</v>
      </c>
      <c r="F37" s="20" t="s">
        <v>139</v>
      </c>
      <c r="G37" s="20" t="s">
        <v>168</v>
      </c>
      <c r="H37" s="20" t="s">
        <v>194</v>
      </c>
      <c r="I37" s="14" t="s">
        <v>289</v>
      </c>
      <c r="J37" s="20" t="s">
        <v>232</v>
      </c>
      <c r="K37" s="46" t="s">
        <v>265</v>
      </c>
      <c r="L37" s="20">
        <v>4</v>
      </c>
      <c r="M37" s="14">
        <f t="shared" si="1"/>
        <v>40</v>
      </c>
      <c r="N37" s="20">
        <v>50</v>
      </c>
      <c r="O37" s="47" t="s">
        <v>313</v>
      </c>
      <c r="P37" s="21" t="s">
        <v>320</v>
      </c>
      <c r="Q37" s="21">
        <f t="shared" ref="Q37" si="16">P37*N37</f>
        <v>2.34</v>
      </c>
      <c r="R37" s="20"/>
    </row>
    <row r="38" spans="1:18">
      <c r="A38" s="1"/>
      <c r="B38" s="16">
        <f>ROW(B38) - ROW($B$7)</f>
        <v>31</v>
      </c>
      <c r="C38" s="22" t="s">
        <v>21</v>
      </c>
      <c r="D38" s="14" t="s">
        <v>56</v>
      </c>
      <c r="E38" s="14" t="s">
        <v>103</v>
      </c>
      <c r="F38" s="14" t="s">
        <v>140</v>
      </c>
      <c r="G38" s="14" t="s">
        <v>169</v>
      </c>
      <c r="H38" s="14" t="s">
        <v>194</v>
      </c>
      <c r="I38" s="14" t="s">
        <v>289</v>
      </c>
      <c r="J38" s="14" t="s">
        <v>233</v>
      </c>
      <c r="K38" s="45" t="s">
        <v>266</v>
      </c>
      <c r="L38" s="14">
        <v>1</v>
      </c>
      <c r="M38" s="14">
        <f t="shared" si="1"/>
        <v>10</v>
      </c>
      <c r="N38" s="14" t="s">
        <v>310</v>
      </c>
      <c r="O38" s="47" t="s">
        <v>313</v>
      </c>
      <c r="P38" s="15" t="s">
        <v>321</v>
      </c>
      <c r="Q38" s="15">
        <f>P38*N38</f>
        <v>0.57799999999999996</v>
      </c>
      <c r="R38" s="14"/>
    </row>
    <row r="39" spans="1:18">
      <c r="A39" s="1"/>
      <c r="B39" s="17">
        <f t="shared" si="0"/>
        <v>32</v>
      </c>
      <c r="C39" s="23" t="s">
        <v>21</v>
      </c>
      <c r="D39" s="20" t="s">
        <v>57</v>
      </c>
      <c r="E39" s="20" t="s">
        <v>104</v>
      </c>
      <c r="F39" s="20" t="s">
        <v>141</v>
      </c>
      <c r="G39" s="20" t="s">
        <v>170</v>
      </c>
      <c r="H39" s="20" t="s">
        <v>194</v>
      </c>
      <c r="I39" s="14" t="s">
        <v>289</v>
      </c>
      <c r="J39" s="20" t="s">
        <v>234</v>
      </c>
      <c r="K39" s="46" t="s">
        <v>267</v>
      </c>
      <c r="L39" s="20">
        <v>1</v>
      </c>
      <c r="M39" s="14">
        <f t="shared" si="1"/>
        <v>10</v>
      </c>
      <c r="N39" s="20">
        <v>20</v>
      </c>
      <c r="O39" s="47" t="s">
        <v>313</v>
      </c>
      <c r="P39" s="21" t="s">
        <v>322</v>
      </c>
      <c r="Q39" s="21">
        <f t="shared" ref="Q39" si="17">P39*N39</f>
        <v>1.002</v>
      </c>
      <c r="R39" s="20"/>
    </row>
    <row r="40" spans="1:18">
      <c r="A40" s="1"/>
      <c r="B40" s="16">
        <f>ROW(B40) - ROW($B$7)</f>
        <v>33</v>
      </c>
      <c r="C40" s="22" t="s">
        <v>22</v>
      </c>
      <c r="D40" s="14" t="s">
        <v>58</v>
      </c>
      <c r="E40" s="14" t="s">
        <v>105</v>
      </c>
      <c r="F40" s="14" t="s">
        <v>139</v>
      </c>
      <c r="G40" s="14" t="s">
        <v>171</v>
      </c>
      <c r="H40" s="14" t="s">
        <v>194</v>
      </c>
      <c r="I40" s="14" t="s">
        <v>289</v>
      </c>
      <c r="J40" s="14" t="s">
        <v>235</v>
      </c>
      <c r="K40" s="45" t="s">
        <v>268</v>
      </c>
      <c r="L40" s="14">
        <v>1</v>
      </c>
      <c r="M40" s="14">
        <f t="shared" si="1"/>
        <v>10</v>
      </c>
      <c r="N40" s="14" t="s">
        <v>312</v>
      </c>
      <c r="O40" s="47" t="s">
        <v>313</v>
      </c>
      <c r="P40" s="15" t="s">
        <v>323</v>
      </c>
      <c r="Q40" s="15">
        <f>P40*N40</f>
        <v>0.54500000000000004</v>
      </c>
      <c r="R40" s="14"/>
    </row>
    <row r="41" spans="1:18">
      <c r="A41" s="1"/>
      <c r="B41" s="17">
        <f t="shared" si="0"/>
        <v>34</v>
      </c>
      <c r="C41" s="23" t="s">
        <v>22</v>
      </c>
      <c r="D41" s="20" t="s">
        <v>59</v>
      </c>
      <c r="E41" s="20" t="s">
        <v>106</v>
      </c>
      <c r="F41" s="20" t="s">
        <v>142</v>
      </c>
      <c r="G41" s="20" t="s">
        <v>172</v>
      </c>
      <c r="H41" s="20" t="s">
        <v>194</v>
      </c>
      <c r="I41" s="14" t="s">
        <v>289</v>
      </c>
      <c r="J41" s="20" t="s">
        <v>236</v>
      </c>
      <c r="K41" s="46" t="s">
        <v>269</v>
      </c>
      <c r="L41" s="20">
        <v>1</v>
      </c>
      <c r="M41" s="14">
        <f t="shared" si="1"/>
        <v>10</v>
      </c>
      <c r="N41" s="20" t="s">
        <v>311</v>
      </c>
      <c r="O41" s="47" t="s">
        <v>313</v>
      </c>
      <c r="P41" s="21" t="s">
        <v>324</v>
      </c>
      <c r="Q41" s="21">
        <f t="shared" ref="Q41" si="18">P41*N41</f>
        <v>0.13</v>
      </c>
      <c r="R41" s="20"/>
    </row>
    <row r="42" spans="1:18">
      <c r="A42" s="1"/>
      <c r="B42" s="16">
        <f>ROW(B42) - ROW($B$7)</f>
        <v>35</v>
      </c>
      <c r="C42" s="22" t="s">
        <v>22</v>
      </c>
      <c r="D42" s="14" t="s">
        <v>60</v>
      </c>
      <c r="E42" s="14" t="s">
        <v>107</v>
      </c>
      <c r="F42" s="14" t="s">
        <v>143</v>
      </c>
      <c r="G42" s="14" t="s">
        <v>173</v>
      </c>
      <c r="H42" s="14" t="s">
        <v>194</v>
      </c>
      <c r="I42" s="14" t="s">
        <v>289</v>
      </c>
      <c r="J42" s="14" t="s">
        <v>237</v>
      </c>
      <c r="K42" s="45" t="s">
        <v>270</v>
      </c>
      <c r="L42" s="14">
        <v>1</v>
      </c>
      <c r="M42" s="14">
        <f t="shared" si="1"/>
        <v>10</v>
      </c>
      <c r="N42" s="14" t="s">
        <v>311</v>
      </c>
      <c r="O42" s="47" t="s">
        <v>313</v>
      </c>
      <c r="P42" s="15" t="s">
        <v>298</v>
      </c>
      <c r="Q42" s="15">
        <f>P42*N42</f>
        <v>0.22</v>
      </c>
      <c r="R42" s="14"/>
    </row>
    <row r="43" spans="1:18">
      <c r="A43" s="1"/>
      <c r="B43" s="17">
        <f t="shared" si="0"/>
        <v>36</v>
      </c>
      <c r="C43" s="23" t="s">
        <v>21</v>
      </c>
      <c r="D43" s="20" t="s">
        <v>61</v>
      </c>
      <c r="E43" s="20" t="s">
        <v>108</v>
      </c>
      <c r="F43" s="20" t="s">
        <v>142</v>
      </c>
      <c r="G43" s="20" t="s">
        <v>174</v>
      </c>
      <c r="H43" s="20" t="s">
        <v>194</v>
      </c>
      <c r="I43" s="14" t="s">
        <v>289</v>
      </c>
      <c r="J43" s="20" t="s">
        <v>238</v>
      </c>
      <c r="K43" s="46" t="s">
        <v>271</v>
      </c>
      <c r="L43" s="20">
        <v>1</v>
      </c>
      <c r="M43" s="14">
        <f t="shared" si="1"/>
        <v>10</v>
      </c>
      <c r="N43" s="20" t="s">
        <v>311</v>
      </c>
      <c r="O43" s="47" t="s">
        <v>313</v>
      </c>
      <c r="P43" s="21" t="s">
        <v>325</v>
      </c>
      <c r="Q43" s="21">
        <f t="shared" ref="Q43" si="19">P43*N43</f>
        <v>0.08</v>
      </c>
      <c r="R43" s="20"/>
    </row>
    <row r="44" spans="1:18">
      <c r="A44" s="1"/>
      <c r="B44" s="16">
        <f>ROW(B44) - ROW($B$7)</f>
        <v>37</v>
      </c>
      <c r="C44" s="22" t="s">
        <v>21</v>
      </c>
      <c r="D44" s="14" t="s">
        <v>62</v>
      </c>
      <c r="E44" s="14" t="s">
        <v>109</v>
      </c>
      <c r="F44" s="14" t="s">
        <v>142</v>
      </c>
      <c r="G44" s="14" t="s">
        <v>175</v>
      </c>
      <c r="H44" s="14" t="s">
        <v>194</v>
      </c>
      <c r="I44" s="14" t="s">
        <v>289</v>
      </c>
      <c r="J44" s="14" t="s">
        <v>239</v>
      </c>
      <c r="K44" s="45" t="s">
        <v>272</v>
      </c>
      <c r="L44" s="14">
        <v>1</v>
      </c>
      <c r="M44" s="14">
        <f t="shared" si="1"/>
        <v>10</v>
      </c>
      <c r="N44" s="14" t="s">
        <v>311</v>
      </c>
      <c r="O44" s="47" t="s">
        <v>313</v>
      </c>
      <c r="P44" s="15" t="s">
        <v>326</v>
      </c>
      <c r="Q44" s="15">
        <f>P44*N44</f>
        <v>0.12</v>
      </c>
      <c r="R44" s="14"/>
    </row>
    <row r="45" spans="1:18">
      <c r="A45" s="1"/>
      <c r="B45" s="17">
        <f t="shared" si="0"/>
        <v>38</v>
      </c>
      <c r="C45" s="23" t="s">
        <v>22</v>
      </c>
      <c r="D45" s="20" t="s">
        <v>63</v>
      </c>
      <c r="E45" s="20" t="s">
        <v>110</v>
      </c>
      <c r="F45" s="20" t="s">
        <v>142</v>
      </c>
      <c r="G45" s="20" t="s">
        <v>176</v>
      </c>
      <c r="H45" s="20" t="s">
        <v>194</v>
      </c>
      <c r="I45" s="14" t="s">
        <v>289</v>
      </c>
      <c r="J45" s="20" t="s">
        <v>240</v>
      </c>
      <c r="K45" s="46" t="s">
        <v>273</v>
      </c>
      <c r="L45" s="20">
        <v>1</v>
      </c>
      <c r="M45" s="14">
        <f t="shared" si="1"/>
        <v>10</v>
      </c>
      <c r="N45" s="20" t="s">
        <v>311</v>
      </c>
      <c r="O45" s="47" t="s">
        <v>313</v>
      </c>
      <c r="P45" s="21" t="s">
        <v>327</v>
      </c>
      <c r="Q45" s="21">
        <f t="shared" ref="Q45" si="20">P45*N45</f>
        <v>0.11</v>
      </c>
      <c r="R45" s="20"/>
    </row>
    <row r="46" spans="1:18">
      <c r="A46" s="1"/>
      <c r="B46" s="16">
        <f>ROW(B46) - ROW($B$7)</f>
        <v>39</v>
      </c>
      <c r="C46" s="22" t="s">
        <v>21</v>
      </c>
      <c r="D46" s="14" t="s">
        <v>64</v>
      </c>
      <c r="E46" s="14" t="s">
        <v>111</v>
      </c>
      <c r="F46" s="14" t="s">
        <v>142</v>
      </c>
      <c r="G46" s="14" t="s">
        <v>177</v>
      </c>
      <c r="H46" s="14" t="s">
        <v>194</v>
      </c>
      <c r="I46" s="14" t="s">
        <v>289</v>
      </c>
      <c r="J46" s="14" t="s">
        <v>241</v>
      </c>
      <c r="K46" s="45" t="s">
        <v>274</v>
      </c>
      <c r="L46" s="14">
        <v>1</v>
      </c>
      <c r="M46" s="14">
        <f t="shared" si="1"/>
        <v>10</v>
      </c>
      <c r="N46" s="14" t="s">
        <v>310</v>
      </c>
      <c r="O46" s="47" t="s">
        <v>313</v>
      </c>
      <c r="P46" s="15" t="s">
        <v>328</v>
      </c>
      <c r="Q46" s="15">
        <f>P46*N46</f>
        <v>0.496</v>
      </c>
      <c r="R46" s="14"/>
    </row>
    <row r="47" spans="1:18">
      <c r="A47" s="1"/>
      <c r="B47" s="17">
        <f t="shared" si="0"/>
        <v>40</v>
      </c>
      <c r="C47" s="23" t="s">
        <v>21</v>
      </c>
      <c r="D47" s="20" t="s">
        <v>65</v>
      </c>
      <c r="E47" s="20" t="s">
        <v>112</v>
      </c>
      <c r="F47" s="20" t="s">
        <v>139</v>
      </c>
      <c r="G47" s="20" t="s">
        <v>178</v>
      </c>
      <c r="H47" s="20" t="s">
        <v>194</v>
      </c>
      <c r="I47" s="14" t="s">
        <v>289</v>
      </c>
      <c r="J47" s="20" t="s">
        <v>242</v>
      </c>
      <c r="K47" s="46" t="s">
        <v>275</v>
      </c>
      <c r="L47" s="20">
        <v>1</v>
      </c>
      <c r="M47" s="14">
        <f t="shared" si="1"/>
        <v>10</v>
      </c>
      <c r="N47" s="20" t="s">
        <v>312</v>
      </c>
      <c r="O47" s="47" t="s">
        <v>313</v>
      </c>
      <c r="P47" s="21" t="s">
        <v>329</v>
      </c>
      <c r="Q47" s="21">
        <f t="shared" ref="Q47" si="21">P47*N47</f>
        <v>0.95</v>
      </c>
      <c r="R47" s="20"/>
    </row>
    <row r="48" spans="1:18">
      <c r="A48" s="1"/>
      <c r="B48" s="16">
        <f>ROW(B48) - ROW($B$7)</f>
        <v>41</v>
      </c>
      <c r="C48" s="22" t="s">
        <v>21</v>
      </c>
      <c r="D48" s="14" t="s">
        <v>66</v>
      </c>
      <c r="E48" s="14" t="s">
        <v>113</v>
      </c>
      <c r="F48" s="14" t="s">
        <v>142</v>
      </c>
      <c r="G48" s="14" t="s">
        <v>179</v>
      </c>
      <c r="H48" s="14" t="s">
        <v>194</v>
      </c>
      <c r="I48" s="14" t="s">
        <v>289</v>
      </c>
      <c r="J48" s="14" t="s">
        <v>243</v>
      </c>
      <c r="K48" s="45" t="s">
        <v>276</v>
      </c>
      <c r="L48" s="14">
        <v>1</v>
      </c>
      <c r="M48" s="14">
        <f t="shared" si="1"/>
        <v>10</v>
      </c>
      <c r="N48" s="14" t="s">
        <v>310</v>
      </c>
      <c r="O48" s="47" t="s">
        <v>313</v>
      </c>
      <c r="P48" s="15" t="s">
        <v>330</v>
      </c>
      <c r="Q48" s="15">
        <f>P48*N48</f>
        <v>0.48800000000000004</v>
      </c>
      <c r="R48" s="14"/>
    </row>
    <row r="49" spans="1:18" ht="24">
      <c r="A49" s="1"/>
      <c r="B49" s="17">
        <f t="shared" si="0"/>
        <v>42</v>
      </c>
      <c r="C49" s="23" t="s">
        <v>21</v>
      </c>
      <c r="D49" s="20" t="s">
        <v>67</v>
      </c>
      <c r="E49" s="20" t="s">
        <v>114</v>
      </c>
      <c r="F49" s="20" t="s">
        <v>141</v>
      </c>
      <c r="G49" s="20" t="s">
        <v>180</v>
      </c>
      <c r="H49" s="20" t="s">
        <v>202</v>
      </c>
      <c r="I49" s="14" t="s">
        <v>289</v>
      </c>
      <c r="J49" s="20" t="s">
        <v>244</v>
      </c>
      <c r="K49" s="46" t="s">
        <v>277</v>
      </c>
      <c r="L49" s="20">
        <v>12</v>
      </c>
      <c r="M49" s="14">
        <f t="shared" si="1"/>
        <v>120</v>
      </c>
      <c r="N49" s="20">
        <v>125</v>
      </c>
      <c r="O49" s="47" t="s">
        <v>313</v>
      </c>
      <c r="P49" s="21" t="s">
        <v>331</v>
      </c>
      <c r="Q49" s="21">
        <f t="shared" ref="Q49" si="22">P49*N49</f>
        <v>22.512500000000003</v>
      </c>
      <c r="R49" s="20"/>
    </row>
    <row r="50" spans="1:18">
      <c r="A50" s="1"/>
      <c r="B50" s="16">
        <f>ROW(B50) - ROW($B$7)</f>
        <v>43</v>
      </c>
      <c r="C50" s="22" t="s">
        <v>22</v>
      </c>
      <c r="D50" s="14" t="s">
        <v>68</v>
      </c>
      <c r="E50" s="14" t="s">
        <v>115</v>
      </c>
      <c r="F50" s="14" t="s">
        <v>141</v>
      </c>
      <c r="G50" s="48" t="s">
        <v>181</v>
      </c>
      <c r="H50" s="14" t="s">
        <v>194</v>
      </c>
      <c r="I50" s="14" t="s">
        <v>339</v>
      </c>
      <c r="J50" s="14" t="s">
        <v>338</v>
      </c>
      <c r="K50" s="45" t="s">
        <v>273</v>
      </c>
      <c r="L50" s="14">
        <v>6</v>
      </c>
      <c r="M50" s="14">
        <f t="shared" si="1"/>
        <v>60</v>
      </c>
      <c r="N50" s="14">
        <v>100</v>
      </c>
      <c r="O50" s="47" t="s">
        <v>313</v>
      </c>
      <c r="P50" s="15" t="s">
        <v>332</v>
      </c>
      <c r="Q50" s="15">
        <f>P50*N50</f>
        <v>1.92</v>
      </c>
      <c r="R50" s="14"/>
    </row>
    <row r="51" spans="1:18" ht="24">
      <c r="A51" s="1"/>
      <c r="B51" s="17">
        <f t="shared" si="0"/>
        <v>44</v>
      </c>
      <c r="C51" s="23" t="s">
        <v>23</v>
      </c>
      <c r="D51" s="20" t="s">
        <v>69</v>
      </c>
      <c r="E51" s="20" t="s">
        <v>116</v>
      </c>
      <c r="F51" s="20" t="s">
        <v>290</v>
      </c>
      <c r="G51" s="20" t="s">
        <v>144</v>
      </c>
      <c r="H51" s="20" t="s">
        <v>194</v>
      </c>
      <c r="I51" s="20" t="s">
        <v>289</v>
      </c>
      <c r="J51" s="20" t="s">
        <v>245</v>
      </c>
      <c r="K51" s="46" t="s">
        <v>289</v>
      </c>
      <c r="L51" s="20">
        <v>3</v>
      </c>
      <c r="M51" s="14">
        <f t="shared" si="1"/>
        <v>30</v>
      </c>
      <c r="N51" s="20">
        <v>40</v>
      </c>
      <c r="O51" s="47" t="s">
        <v>313</v>
      </c>
      <c r="P51" s="21" t="s">
        <v>333</v>
      </c>
      <c r="Q51" s="21">
        <f t="shared" ref="Q51" si="23">P51*N51</f>
        <v>2.8079999999999998</v>
      </c>
      <c r="R51" s="20"/>
    </row>
    <row r="52" spans="1:18" ht="24">
      <c r="A52" s="1"/>
      <c r="B52" s="16">
        <f>ROW(B52) - ROW($B$7)</f>
        <v>45</v>
      </c>
      <c r="C52" s="22" t="s">
        <v>24</v>
      </c>
      <c r="D52" s="14" t="s">
        <v>70</v>
      </c>
      <c r="E52" s="14" t="s">
        <v>117</v>
      </c>
      <c r="F52" s="14" t="s">
        <v>145</v>
      </c>
      <c r="G52" s="14" t="s">
        <v>182</v>
      </c>
      <c r="H52" s="14" t="s">
        <v>203</v>
      </c>
      <c r="I52" s="20" t="s">
        <v>289</v>
      </c>
      <c r="J52" s="14" t="s">
        <v>246</v>
      </c>
      <c r="K52" s="46" t="s">
        <v>289</v>
      </c>
      <c r="L52" s="14">
        <v>1</v>
      </c>
      <c r="M52" s="14">
        <f t="shared" si="1"/>
        <v>10</v>
      </c>
      <c r="N52" s="14">
        <v>11</v>
      </c>
      <c r="O52" s="47" t="s">
        <v>313</v>
      </c>
      <c r="P52" s="15" t="s">
        <v>334</v>
      </c>
      <c r="Q52" s="15">
        <f>P52*N52</f>
        <v>13.259399999999999</v>
      </c>
      <c r="R52" s="14"/>
    </row>
    <row r="53" spans="1:18" ht="24">
      <c r="A53" s="1"/>
      <c r="B53" s="17">
        <f t="shared" si="0"/>
        <v>46</v>
      </c>
      <c r="C53" s="23" t="s">
        <v>24</v>
      </c>
      <c r="D53" s="20" t="s">
        <v>71</v>
      </c>
      <c r="E53" s="20" t="s">
        <v>118</v>
      </c>
      <c r="F53" s="20" t="s">
        <v>146</v>
      </c>
      <c r="G53" s="20" t="s">
        <v>183</v>
      </c>
      <c r="H53" s="20" t="s">
        <v>195</v>
      </c>
      <c r="I53" s="20" t="s">
        <v>289</v>
      </c>
      <c r="J53" s="20" t="s">
        <v>247</v>
      </c>
      <c r="K53" s="46" t="s">
        <v>289</v>
      </c>
      <c r="L53" s="20">
        <v>1</v>
      </c>
      <c r="M53" s="14">
        <f t="shared" si="1"/>
        <v>10</v>
      </c>
      <c r="N53" s="20">
        <v>15</v>
      </c>
      <c r="O53" s="47" t="s">
        <v>313</v>
      </c>
      <c r="P53" s="21" t="s">
        <v>335</v>
      </c>
      <c r="Q53" s="21">
        <f t="shared" ref="Q53" si="24">P53*N53</f>
        <v>3.528</v>
      </c>
      <c r="R53" s="20"/>
    </row>
    <row r="54" spans="1:18" ht="15.75" thickBot="1">
      <c r="A54" s="1"/>
      <c r="B54" s="16">
        <f>ROW(B54) - ROW($B$7)</f>
        <v>47</v>
      </c>
      <c r="C54" s="22" t="s">
        <v>24</v>
      </c>
      <c r="D54" s="14" t="s">
        <v>72</v>
      </c>
      <c r="E54" s="14" t="s">
        <v>119</v>
      </c>
      <c r="F54" s="14" t="s">
        <v>147</v>
      </c>
      <c r="G54" s="14" t="s">
        <v>184</v>
      </c>
      <c r="H54" s="14" t="s">
        <v>204</v>
      </c>
      <c r="I54" s="20" t="s">
        <v>289</v>
      </c>
      <c r="J54" s="14" t="s">
        <v>248</v>
      </c>
      <c r="K54" s="46" t="s">
        <v>289</v>
      </c>
      <c r="L54" s="14">
        <v>1</v>
      </c>
      <c r="M54" s="14">
        <f t="shared" si="1"/>
        <v>10</v>
      </c>
      <c r="N54" s="14">
        <v>15</v>
      </c>
      <c r="O54" s="47" t="s">
        <v>313</v>
      </c>
      <c r="P54" s="15" t="s">
        <v>336</v>
      </c>
      <c r="Q54" s="15">
        <f>P54*N54</f>
        <v>3.9255</v>
      </c>
      <c r="R54" s="14"/>
    </row>
    <row r="55" spans="1:18" ht="19.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43" t="s">
        <v>3</v>
      </c>
      <c r="O55" s="44"/>
      <c r="P55" s="44"/>
      <c r="Q55" s="18">
        <f>SUM(Q8:Q54)</f>
        <v>194.37659999999997</v>
      </c>
      <c r="R55" s="1"/>
    </row>
    <row r="56" spans="1:18" ht="19.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43" t="s">
        <v>4</v>
      </c>
      <c r="O56" s="44"/>
      <c r="P56" s="44"/>
      <c r="Q56" s="19">
        <f>Q55/10</f>
        <v>19.437659999999997</v>
      </c>
      <c r="R56" s="1"/>
    </row>
    <row r="68" spans="13:13">
      <c r="M68" s="38"/>
    </row>
  </sheetData>
  <mergeCells count="3">
    <mergeCell ref="K1:R1"/>
    <mergeCell ref="N55:P55"/>
    <mergeCell ref="N56:P56"/>
  </mergeCells>
  <hyperlinks>
    <hyperlink ref="O8" r:id="rId1"/>
    <hyperlink ref="O10" r:id="rId2"/>
    <hyperlink ref="O11" r:id="rId3"/>
    <hyperlink ref="O12" r:id="rId4"/>
    <hyperlink ref="O13" r:id="rId5"/>
    <hyperlink ref="O14" r:id="rId6"/>
    <hyperlink ref="O15" r:id="rId7"/>
    <hyperlink ref="O16" r:id="rId8"/>
    <hyperlink ref="O17" r:id="rId9"/>
    <hyperlink ref="O18" r:id="rId10"/>
    <hyperlink ref="O19" r:id="rId11"/>
    <hyperlink ref="O20" r:id="rId12"/>
    <hyperlink ref="O22" r:id="rId13"/>
    <hyperlink ref="O23" r:id="rId14"/>
    <hyperlink ref="O24" r:id="rId15"/>
    <hyperlink ref="O25" r:id="rId16"/>
    <hyperlink ref="O26" r:id="rId17"/>
    <hyperlink ref="O27" r:id="rId18"/>
    <hyperlink ref="O28" r:id="rId19"/>
    <hyperlink ref="O30" r:id="rId20"/>
    <hyperlink ref="O31" r:id="rId21"/>
    <hyperlink ref="O32" r:id="rId22"/>
    <hyperlink ref="O34" r:id="rId23"/>
    <hyperlink ref="O35" r:id="rId24"/>
    <hyperlink ref="O36" r:id="rId25"/>
    <hyperlink ref="O37" r:id="rId26"/>
    <hyperlink ref="O38" r:id="rId27"/>
    <hyperlink ref="O39" r:id="rId28"/>
    <hyperlink ref="O40" r:id="rId29"/>
    <hyperlink ref="O41" r:id="rId30"/>
    <hyperlink ref="O42" r:id="rId31"/>
    <hyperlink ref="O43" r:id="rId32"/>
    <hyperlink ref="O44" r:id="rId33"/>
    <hyperlink ref="O45" r:id="rId34"/>
    <hyperlink ref="O46" r:id="rId35"/>
    <hyperlink ref="O47" r:id="rId36"/>
    <hyperlink ref="O48" r:id="rId37"/>
    <hyperlink ref="O49" r:id="rId38"/>
    <hyperlink ref="O51" r:id="rId39"/>
    <hyperlink ref="O52" r:id="rId40"/>
    <hyperlink ref="O53" r:id="rId41"/>
    <hyperlink ref="O54" r:id="rId42"/>
    <hyperlink ref="O9" r:id="rId43"/>
    <hyperlink ref="O21" r:id="rId44"/>
    <hyperlink ref="O29" r:id="rId45"/>
    <hyperlink ref="O50" r:id="rId46"/>
  </hyperlinks>
  <pageMargins left="0.7" right="0.7" top="0.75" bottom="0.75" header="0.3" footer="0.3"/>
  <pageSetup paperSize="9" orientation="portrait" r:id="rId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topLeftCell="A42" workbookViewId="0">
      <selection activeCell="A55" sqref="A55"/>
    </sheetView>
  </sheetViews>
  <sheetFormatPr defaultRowHeight="15"/>
  <cols>
    <col min="2" max="2" width="3" bestFit="1" customWidth="1"/>
    <col min="3" max="3" width="15.140625" customWidth="1"/>
    <col min="4" max="4" width="31.140625" bestFit="1" customWidth="1"/>
    <col min="5" max="5" width="30.85546875" customWidth="1"/>
    <col min="6" max="6" width="14.710937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1.42578125" bestFit="1" customWidth="1"/>
    <col min="14" max="14" width="18.28515625" bestFit="1" customWidth="1"/>
    <col min="16" max="16" width="21.85546875" bestFit="1" customWidth="1"/>
    <col min="17" max="17" width="22.42578125" bestFit="1" customWidth="1"/>
    <col min="18" max="18" width="8.5703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42"/>
      <c r="L1" s="42"/>
      <c r="M1" s="42"/>
      <c r="N1" s="42"/>
      <c r="O1" s="42"/>
      <c r="P1" s="42"/>
      <c r="Q1" s="42"/>
      <c r="R1" s="42"/>
    </row>
    <row r="2" spans="1:18" ht="32.25" thickBot="1">
      <c r="A2" s="1"/>
      <c r="B2" s="7"/>
      <c r="C2" s="13"/>
      <c r="D2" s="4" t="s">
        <v>0</v>
      </c>
      <c r="E2" s="4"/>
      <c r="F2" s="40" t="s">
        <v>279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280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25</v>
      </c>
      <c r="E7" s="12" t="s">
        <v>73</v>
      </c>
      <c r="F7" s="12" t="s">
        <v>120</v>
      </c>
      <c r="G7" s="12" t="s">
        <v>148</v>
      </c>
      <c r="H7" s="12" t="s">
        <v>185</v>
      </c>
      <c r="I7" s="12" t="s">
        <v>281</v>
      </c>
      <c r="J7" s="12" t="s">
        <v>205</v>
      </c>
      <c r="K7" s="12" t="s">
        <v>282</v>
      </c>
      <c r="L7" s="12" t="s">
        <v>278</v>
      </c>
      <c r="M7" s="12" t="s">
        <v>340</v>
      </c>
      <c r="N7" s="12" t="s">
        <v>341</v>
      </c>
      <c r="O7" s="12" t="s">
        <v>285</v>
      </c>
      <c r="P7" s="12" t="s">
        <v>342</v>
      </c>
      <c r="Q7" s="12" t="s">
        <v>343</v>
      </c>
      <c r="R7" s="12" t="s">
        <v>288</v>
      </c>
    </row>
    <row r="8" spans="1:18" s="50" customFormat="1" ht="36">
      <c r="A8" s="49"/>
      <c r="B8" s="16">
        <f>ROW(B8) - ROW($B$7)</f>
        <v>1</v>
      </c>
      <c r="C8" s="22" t="s">
        <v>6</v>
      </c>
      <c r="D8" s="14" t="s">
        <v>26</v>
      </c>
      <c r="E8" s="14" t="s">
        <v>74</v>
      </c>
      <c r="F8" s="14" t="s">
        <v>121</v>
      </c>
      <c r="G8" s="14" t="s">
        <v>149</v>
      </c>
      <c r="H8" s="14" t="s">
        <v>186</v>
      </c>
      <c r="I8" s="14" t="s">
        <v>289</v>
      </c>
      <c r="J8" s="14" t="s">
        <v>206</v>
      </c>
      <c r="K8" s="45" t="s">
        <v>289</v>
      </c>
      <c r="L8" s="14">
        <v>2</v>
      </c>
      <c r="M8" s="14">
        <f>L8*1000</f>
        <v>2000</v>
      </c>
      <c r="N8" s="14">
        <v>2005</v>
      </c>
      <c r="O8" s="47" t="s">
        <v>313</v>
      </c>
      <c r="P8" s="15" t="s">
        <v>344</v>
      </c>
      <c r="Q8" s="15">
        <f>P8*N8</f>
        <v>106.8665</v>
      </c>
      <c r="R8" s="14"/>
    </row>
    <row r="9" spans="1:18" s="50" customFormat="1">
      <c r="A9" s="49"/>
      <c r="B9" s="17">
        <f t="shared" ref="B9:B53" si="0">ROW(B9) - ROW($B$7)</f>
        <v>2</v>
      </c>
      <c r="C9" s="23" t="s">
        <v>7</v>
      </c>
      <c r="D9" s="20" t="s">
        <v>27</v>
      </c>
      <c r="E9" s="20" t="s">
        <v>75</v>
      </c>
      <c r="F9" s="20" t="s">
        <v>290</v>
      </c>
      <c r="G9" s="20" t="s">
        <v>122</v>
      </c>
      <c r="H9" s="20" t="s">
        <v>187</v>
      </c>
      <c r="I9" s="14" t="s">
        <v>289</v>
      </c>
      <c r="J9" s="20" t="s">
        <v>207</v>
      </c>
      <c r="K9" s="46" t="s">
        <v>249</v>
      </c>
      <c r="L9" s="20">
        <v>3</v>
      </c>
      <c r="M9" s="14">
        <f t="shared" ref="M9:M54" si="1">L9*1000</f>
        <v>3000</v>
      </c>
      <c r="N9" s="20">
        <v>3005</v>
      </c>
      <c r="O9" s="47" t="s">
        <v>313</v>
      </c>
      <c r="P9" s="21" t="s">
        <v>345</v>
      </c>
      <c r="Q9" s="21">
        <f t="shared" ref="Q9" si="2">P9*N9</f>
        <v>395.45799999999997</v>
      </c>
      <c r="R9" s="20"/>
    </row>
    <row r="10" spans="1:18" s="50" customFormat="1" ht="36">
      <c r="A10" s="49"/>
      <c r="B10" s="16">
        <f>ROW(B10) - ROW($B$7)</f>
        <v>3</v>
      </c>
      <c r="C10" s="22" t="s">
        <v>8</v>
      </c>
      <c r="D10" s="14" t="s">
        <v>28</v>
      </c>
      <c r="E10" s="14" t="s">
        <v>76</v>
      </c>
      <c r="F10" s="20" t="s">
        <v>290</v>
      </c>
      <c r="G10" s="14" t="s">
        <v>123</v>
      </c>
      <c r="H10" s="14" t="s">
        <v>188</v>
      </c>
      <c r="I10" s="14" t="s">
        <v>289</v>
      </c>
      <c r="J10" s="14" t="s">
        <v>208</v>
      </c>
      <c r="K10" s="45" t="s">
        <v>250</v>
      </c>
      <c r="L10" s="14">
        <v>2</v>
      </c>
      <c r="M10" s="14">
        <f t="shared" si="1"/>
        <v>2000</v>
      </c>
      <c r="N10" s="14">
        <v>2002</v>
      </c>
      <c r="O10" s="47" t="s">
        <v>313</v>
      </c>
      <c r="P10" s="15" t="s">
        <v>346</v>
      </c>
      <c r="Q10" s="15">
        <f>P10*N10</f>
        <v>421.42099999999999</v>
      </c>
      <c r="R10" s="14"/>
    </row>
    <row r="11" spans="1:18" s="50" customFormat="1">
      <c r="A11" s="49"/>
      <c r="B11" s="17">
        <f t="shared" si="0"/>
        <v>4</v>
      </c>
      <c r="C11" s="23" t="s">
        <v>8</v>
      </c>
      <c r="D11" s="20" t="s">
        <v>29</v>
      </c>
      <c r="E11" s="20" t="s">
        <v>77</v>
      </c>
      <c r="F11" s="20" t="s">
        <v>290</v>
      </c>
      <c r="G11" s="20" t="s">
        <v>150</v>
      </c>
      <c r="H11" s="20" t="s">
        <v>189</v>
      </c>
      <c r="I11" s="14" t="s">
        <v>289</v>
      </c>
      <c r="J11" s="20" t="s">
        <v>209</v>
      </c>
      <c r="K11" s="46" t="s">
        <v>251</v>
      </c>
      <c r="L11" s="20">
        <v>4</v>
      </c>
      <c r="M11" s="14">
        <f t="shared" si="1"/>
        <v>4000</v>
      </c>
      <c r="N11" s="20">
        <v>4005</v>
      </c>
      <c r="O11" s="47" t="s">
        <v>313</v>
      </c>
      <c r="P11" s="21" t="s">
        <v>347</v>
      </c>
      <c r="Q11" s="21">
        <f t="shared" ref="Q11" si="3">P11*N11</f>
        <v>415.71899999999999</v>
      </c>
      <c r="R11" s="20"/>
    </row>
    <row r="12" spans="1:18" s="50" customFormat="1">
      <c r="A12" s="49"/>
      <c r="B12" s="16">
        <f>ROW(B12) - ROW($B$7)</f>
        <v>5</v>
      </c>
      <c r="C12" s="22" t="s">
        <v>9</v>
      </c>
      <c r="D12" s="14" t="s">
        <v>30</v>
      </c>
      <c r="E12" s="14" t="s">
        <v>78</v>
      </c>
      <c r="F12" s="14" t="s">
        <v>124</v>
      </c>
      <c r="G12" s="14" t="s">
        <v>151</v>
      </c>
      <c r="H12" s="14" t="s">
        <v>190</v>
      </c>
      <c r="I12" s="14" t="s">
        <v>289</v>
      </c>
      <c r="J12" s="14" t="s">
        <v>210</v>
      </c>
      <c r="K12" s="45" t="s">
        <v>252</v>
      </c>
      <c r="L12" s="14">
        <v>1</v>
      </c>
      <c r="M12" s="14">
        <f t="shared" si="1"/>
        <v>1000</v>
      </c>
      <c r="N12" s="14">
        <v>1020</v>
      </c>
      <c r="O12" s="47" t="s">
        <v>313</v>
      </c>
      <c r="P12" s="15" t="s">
        <v>348</v>
      </c>
      <c r="Q12" s="15">
        <f>P12*N12</f>
        <v>15.606</v>
      </c>
      <c r="R12" s="14"/>
    </row>
    <row r="13" spans="1:18" s="50" customFormat="1" ht="36">
      <c r="A13" s="49"/>
      <c r="B13" s="17">
        <f t="shared" si="0"/>
        <v>6</v>
      </c>
      <c r="C13" s="23" t="s">
        <v>8</v>
      </c>
      <c r="D13" s="20" t="s">
        <v>31</v>
      </c>
      <c r="E13" s="20" t="s">
        <v>79</v>
      </c>
      <c r="F13" s="20" t="s">
        <v>290</v>
      </c>
      <c r="G13" s="20" t="s">
        <v>125</v>
      </c>
      <c r="H13" s="20" t="s">
        <v>191</v>
      </c>
      <c r="I13" s="14" t="s">
        <v>289</v>
      </c>
      <c r="J13" s="20" t="s">
        <v>211</v>
      </c>
      <c r="K13" s="46" t="s">
        <v>253</v>
      </c>
      <c r="L13" s="20">
        <v>1</v>
      </c>
      <c r="M13" s="14">
        <f t="shared" si="1"/>
        <v>1000</v>
      </c>
      <c r="N13" s="20">
        <v>1005</v>
      </c>
      <c r="O13" s="47" t="s">
        <v>313</v>
      </c>
      <c r="P13" s="21" t="s">
        <v>349</v>
      </c>
      <c r="Q13" s="21">
        <f t="shared" ref="Q13" si="4">P13*N13</f>
        <v>83.113500000000002</v>
      </c>
      <c r="R13" s="20"/>
    </row>
    <row r="14" spans="1:18" s="50" customFormat="1" ht="24">
      <c r="A14" s="49"/>
      <c r="B14" s="16">
        <f>ROW(B14) - ROW($B$7)</f>
        <v>7</v>
      </c>
      <c r="C14" s="22" t="s">
        <v>9</v>
      </c>
      <c r="D14" s="14" t="s">
        <v>32</v>
      </c>
      <c r="E14" s="14" t="s">
        <v>80</v>
      </c>
      <c r="F14" s="20" t="s">
        <v>290</v>
      </c>
      <c r="G14" s="14" t="s">
        <v>126</v>
      </c>
      <c r="H14" s="14" t="s">
        <v>192</v>
      </c>
      <c r="I14" s="14" t="s">
        <v>289</v>
      </c>
      <c r="J14" s="14" t="s">
        <v>212</v>
      </c>
      <c r="K14" s="45" t="s">
        <v>252</v>
      </c>
      <c r="L14" s="14">
        <v>1</v>
      </c>
      <c r="M14" s="14">
        <f t="shared" si="1"/>
        <v>1000</v>
      </c>
      <c r="N14" s="14">
        <v>5005</v>
      </c>
      <c r="O14" s="47" t="s">
        <v>313</v>
      </c>
      <c r="P14" s="15" t="s">
        <v>350</v>
      </c>
      <c r="Q14" s="15">
        <f>P14*N14</f>
        <v>313.31299999999999</v>
      </c>
      <c r="R14" s="14"/>
    </row>
    <row r="15" spans="1:18" s="50" customFormat="1" ht="25.5">
      <c r="A15" s="49"/>
      <c r="B15" s="17">
        <f t="shared" si="0"/>
        <v>8</v>
      </c>
      <c r="C15" s="23" t="s">
        <v>10</v>
      </c>
      <c r="D15" s="20" t="s">
        <v>33</v>
      </c>
      <c r="E15" s="20" t="s">
        <v>81</v>
      </c>
      <c r="F15" s="20" t="s">
        <v>127</v>
      </c>
      <c r="G15" s="20" t="s">
        <v>152</v>
      </c>
      <c r="H15" s="20" t="s">
        <v>193</v>
      </c>
      <c r="I15" s="14" t="s">
        <v>289</v>
      </c>
      <c r="J15" s="20" t="s">
        <v>213</v>
      </c>
      <c r="K15" s="46" t="s">
        <v>254</v>
      </c>
      <c r="L15" s="20">
        <v>1</v>
      </c>
      <c r="M15" s="14">
        <f t="shared" si="1"/>
        <v>1000</v>
      </c>
      <c r="N15" s="20">
        <v>1005</v>
      </c>
      <c r="O15" s="47" t="s">
        <v>313</v>
      </c>
      <c r="P15" s="21" t="s">
        <v>351</v>
      </c>
      <c r="Q15" s="21">
        <f t="shared" ref="Q15" si="5">P15*N15</f>
        <v>164.01600000000002</v>
      </c>
      <c r="R15" s="20"/>
    </row>
    <row r="16" spans="1:18" s="50" customFormat="1">
      <c r="A16" s="49"/>
      <c r="B16" s="16">
        <f>ROW(B16) - ROW($B$7)</f>
        <v>9</v>
      </c>
      <c r="C16" s="23" t="s">
        <v>8</v>
      </c>
      <c r="D16" s="14" t="s">
        <v>34</v>
      </c>
      <c r="E16" s="14" t="s">
        <v>82</v>
      </c>
      <c r="F16" s="14" t="s">
        <v>128</v>
      </c>
      <c r="G16" s="14" t="s">
        <v>153</v>
      </c>
      <c r="H16" s="14" t="s">
        <v>194</v>
      </c>
      <c r="I16" s="14" t="s">
        <v>289</v>
      </c>
      <c r="J16" s="14" t="s">
        <v>214</v>
      </c>
      <c r="K16" s="45" t="s">
        <v>255</v>
      </c>
      <c r="L16" s="14">
        <v>1</v>
      </c>
      <c r="M16" s="14">
        <f t="shared" si="1"/>
        <v>1000</v>
      </c>
      <c r="N16" s="14">
        <v>1100</v>
      </c>
      <c r="O16" s="47" t="s">
        <v>313</v>
      </c>
      <c r="P16" s="15" t="s">
        <v>352</v>
      </c>
      <c r="Q16" s="15">
        <f>P16*N16</f>
        <v>1.8699999999999999</v>
      </c>
      <c r="R16" s="14"/>
    </row>
    <row r="17" spans="1:18" s="50" customFormat="1">
      <c r="A17" s="49"/>
      <c r="B17" s="17">
        <f t="shared" si="0"/>
        <v>10</v>
      </c>
      <c r="C17" s="23" t="s">
        <v>9</v>
      </c>
      <c r="D17" s="20" t="s">
        <v>35</v>
      </c>
      <c r="E17" s="20" t="s">
        <v>83</v>
      </c>
      <c r="F17" s="20" t="s">
        <v>128</v>
      </c>
      <c r="G17" s="20" t="s">
        <v>154</v>
      </c>
      <c r="H17" s="20" t="s">
        <v>194</v>
      </c>
      <c r="I17" s="14" t="s">
        <v>289</v>
      </c>
      <c r="J17" s="20" t="s">
        <v>215</v>
      </c>
      <c r="K17" s="46" t="s">
        <v>256</v>
      </c>
      <c r="L17" s="20">
        <v>2</v>
      </c>
      <c r="M17" s="14">
        <f t="shared" si="1"/>
        <v>2000</v>
      </c>
      <c r="N17" s="20">
        <v>2020</v>
      </c>
      <c r="O17" s="47" t="s">
        <v>313</v>
      </c>
      <c r="P17" s="21" t="s">
        <v>353</v>
      </c>
      <c r="Q17" s="21">
        <f t="shared" ref="Q17" si="6">P17*N17</f>
        <v>33.532000000000004</v>
      </c>
      <c r="R17" s="20"/>
    </row>
    <row r="18" spans="1:18" s="50" customFormat="1">
      <c r="A18" s="49"/>
      <c r="B18" s="16">
        <f>ROW(B18) - ROW($B$7)</f>
        <v>11</v>
      </c>
      <c r="C18" s="22" t="s">
        <v>9</v>
      </c>
      <c r="D18" s="14" t="s">
        <v>36</v>
      </c>
      <c r="E18" s="14" t="s">
        <v>84</v>
      </c>
      <c r="F18" s="14" t="s">
        <v>128</v>
      </c>
      <c r="G18" s="14" t="s">
        <v>155</v>
      </c>
      <c r="H18" s="14" t="s">
        <v>194</v>
      </c>
      <c r="I18" s="14" t="s">
        <v>289</v>
      </c>
      <c r="J18" s="14" t="s">
        <v>216</v>
      </c>
      <c r="K18" s="45" t="s">
        <v>257</v>
      </c>
      <c r="L18" s="14">
        <v>1</v>
      </c>
      <c r="M18" s="14">
        <f t="shared" si="1"/>
        <v>1000</v>
      </c>
      <c r="N18" s="14">
        <v>1050</v>
      </c>
      <c r="O18" s="47" t="s">
        <v>313</v>
      </c>
      <c r="P18" s="15" t="s">
        <v>354</v>
      </c>
      <c r="Q18" s="15">
        <f>P18*N18</f>
        <v>6.4050000000000002</v>
      </c>
      <c r="R18" s="14"/>
    </row>
    <row r="19" spans="1:18" s="50" customFormat="1">
      <c r="A19" s="49"/>
      <c r="B19" s="17">
        <f t="shared" si="0"/>
        <v>12</v>
      </c>
      <c r="C19" s="23" t="s">
        <v>9</v>
      </c>
      <c r="D19" s="20" t="s">
        <v>37</v>
      </c>
      <c r="E19" s="20" t="s">
        <v>85</v>
      </c>
      <c r="F19" s="20" t="s">
        <v>128</v>
      </c>
      <c r="G19" s="20" t="s">
        <v>156</v>
      </c>
      <c r="H19" s="20" t="s">
        <v>194</v>
      </c>
      <c r="I19" s="14" t="s">
        <v>289</v>
      </c>
      <c r="J19" s="20" t="s">
        <v>217</v>
      </c>
      <c r="K19" s="46" t="s">
        <v>258</v>
      </c>
      <c r="L19" s="20">
        <v>1</v>
      </c>
      <c r="M19" s="14">
        <f t="shared" si="1"/>
        <v>1000</v>
      </c>
      <c r="N19" s="20">
        <v>1100</v>
      </c>
      <c r="O19" s="47" t="s">
        <v>313</v>
      </c>
      <c r="P19" s="21" t="s">
        <v>355</v>
      </c>
      <c r="Q19" s="21">
        <f t="shared" ref="Q19" si="7">P19*N19</f>
        <v>3.52</v>
      </c>
      <c r="R19" s="20"/>
    </row>
    <row r="20" spans="1:18" s="50" customFormat="1" ht="24">
      <c r="A20" s="49"/>
      <c r="B20" s="16">
        <f>ROW(B20) - ROW($B$7)</f>
        <v>13</v>
      </c>
      <c r="C20" s="22" t="s">
        <v>9</v>
      </c>
      <c r="D20" s="14" t="s">
        <v>38</v>
      </c>
      <c r="E20" s="14" t="s">
        <v>86</v>
      </c>
      <c r="F20" s="14" t="s">
        <v>128</v>
      </c>
      <c r="G20" s="14" t="s">
        <v>157</v>
      </c>
      <c r="H20" s="14" t="s">
        <v>190</v>
      </c>
      <c r="I20" s="14" t="s">
        <v>289</v>
      </c>
      <c r="J20" s="14" t="s">
        <v>218</v>
      </c>
      <c r="K20" s="45" t="s">
        <v>259</v>
      </c>
      <c r="L20" s="14">
        <v>3</v>
      </c>
      <c r="M20" s="14">
        <f t="shared" si="1"/>
        <v>3000</v>
      </c>
      <c r="N20" s="14">
        <v>3002</v>
      </c>
      <c r="O20" s="47" t="s">
        <v>313</v>
      </c>
      <c r="P20" s="15" t="s">
        <v>356</v>
      </c>
      <c r="Q20" s="15">
        <f>P20*N20</f>
        <v>182.8218</v>
      </c>
      <c r="R20" s="14"/>
    </row>
    <row r="21" spans="1:18" s="50" customFormat="1" ht="30">
      <c r="A21" s="49"/>
      <c r="B21" s="17">
        <f t="shared" si="0"/>
        <v>14</v>
      </c>
      <c r="C21" s="23" t="s">
        <v>9</v>
      </c>
      <c r="D21" s="20" t="s">
        <v>39</v>
      </c>
      <c r="E21" s="20" t="s">
        <v>87</v>
      </c>
      <c r="F21" s="20" t="s">
        <v>124</v>
      </c>
      <c r="G21" s="20" t="s">
        <v>158</v>
      </c>
      <c r="H21" s="20" t="s">
        <v>194</v>
      </c>
      <c r="I21" s="14" t="s">
        <v>289</v>
      </c>
      <c r="J21" s="20" t="s">
        <v>289</v>
      </c>
      <c r="K21" s="46" t="s">
        <v>260</v>
      </c>
      <c r="L21" s="20">
        <v>6</v>
      </c>
      <c r="M21" s="14">
        <f t="shared" si="1"/>
        <v>6000</v>
      </c>
      <c r="N21" s="20">
        <v>6002</v>
      </c>
      <c r="O21" s="47" t="s">
        <v>337</v>
      </c>
      <c r="P21" s="21">
        <v>1.4E-2</v>
      </c>
      <c r="Q21" s="21">
        <f t="shared" ref="Q21" si="8">P21*N21</f>
        <v>84.028000000000006</v>
      </c>
      <c r="R21" s="20"/>
    </row>
    <row r="22" spans="1:18" s="50" customFormat="1" ht="36">
      <c r="A22" s="49"/>
      <c r="B22" s="16">
        <f>ROW(B22) - ROW($B$7)</f>
        <v>15</v>
      </c>
      <c r="C22" s="22" t="s">
        <v>11</v>
      </c>
      <c r="D22" s="14" t="s">
        <v>40</v>
      </c>
      <c r="E22" s="14" t="s">
        <v>88</v>
      </c>
      <c r="F22" s="14" t="s">
        <v>129</v>
      </c>
      <c r="G22" s="14" t="s">
        <v>159</v>
      </c>
      <c r="H22" s="14" t="s">
        <v>195</v>
      </c>
      <c r="I22" s="14" t="s">
        <v>289</v>
      </c>
      <c r="J22" s="14" t="s">
        <v>219</v>
      </c>
      <c r="K22" s="45" t="s">
        <v>289</v>
      </c>
      <c r="L22" s="14">
        <v>1</v>
      </c>
      <c r="M22" s="14">
        <f t="shared" si="1"/>
        <v>1000</v>
      </c>
      <c r="N22" s="14">
        <v>1002</v>
      </c>
      <c r="O22" s="47" t="s">
        <v>313</v>
      </c>
      <c r="P22" s="15" t="s">
        <v>358</v>
      </c>
      <c r="Q22" s="15">
        <f>P22*N22</f>
        <v>555.10800000000006</v>
      </c>
      <c r="R22" s="14"/>
    </row>
    <row r="23" spans="1:18" s="50" customFormat="1">
      <c r="A23" s="49"/>
      <c r="B23" s="17">
        <f t="shared" si="0"/>
        <v>16</v>
      </c>
      <c r="C23" s="23" t="s">
        <v>11</v>
      </c>
      <c r="D23" s="20" t="s">
        <v>41</v>
      </c>
      <c r="E23" s="20" t="s">
        <v>89</v>
      </c>
      <c r="F23" s="20" t="s">
        <v>130</v>
      </c>
      <c r="G23" s="20" t="s">
        <v>160</v>
      </c>
      <c r="H23" s="20" t="s">
        <v>11</v>
      </c>
      <c r="I23" s="14" t="s">
        <v>289</v>
      </c>
      <c r="J23" s="20" t="s">
        <v>220</v>
      </c>
      <c r="K23" s="46" t="s">
        <v>261</v>
      </c>
      <c r="L23" s="20">
        <v>1</v>
      </c>
      <c r="M23" s="14">
        <f t="shared" si="1"/>
        <v>1000</v>
      </c>
      <c r="N23" s="20">
        <v>1020</v>
      </c>
      <c r="O23" s="47" t="s">
        <v>313</v>
      </c>
      <c r="P23" s="21" t="s">
        <v>359</v>
      </c>
      <c r="Q23" s="21">
        <f t="shared" ref="Q23" si="9">P23*N23</f>
        <v>18.768000000000001</v>
      </c>
      <c r="R23" s="20"/>
    </row>
    <row r="24" spans="1:18" s="50" customFormat="1">
      <c r="A24" s="49"/>
      <c r="B24" s="16">
        <f>ROW(B24) - ROW($B$7)</f>
        <v>17</v>
      </c>
      <c r="C24" s="22" t="s">
        <v>11</v>
      </c>
      <c r="D24" s="14" t="s">
        <v>42</v>
      </c>
      <c r="E24" s="14" t="s">
        <v>90</v>
      </c>
      <c r="F24" s="14" t="s">
        <v>131</v>
      </c>
      <c r="G24" s="14" t="s">
        <v>161</v>
      </c>
      <c r="H24" s="14" t="s">
        <v>11</v>
      </c>
      <c r="I24" s="14" t="s">
        <v>289</v>
      </c>
      <c r="J24" s="14" t="s">
        <v>221</v>
      </c>
      <c r="K24" s="45" t="s">
        <v>289</v>
      </c>
      <c r="L24" s="14">
        <v>1</v>
      </c>
      <c r="M24" s="14">
        <f t="shared" si="1"/>
        <v>1000</v>
      </c>
      <c r="N24" s="14">
        <v>1010</v>
      </c>
      <c r="O24" s="47" t="s">
        <v>313</v>
      </c>
      <c r="P24" s="15" t="s">
        <v>360</v>
      </c>
      <c r="Q24" s="15">
        <f>P24*N24</f>
        <v>38.884999999999998</v>
      </c>
      <c r="R24" s="14"/>
    </row>
    <row r="25" spans="1:18" s="50" customFormat="1">
      <c r="A25" s="49"/>
      <c r="B25" s="17">
        <f t="shared" si="0"/>
        <v>18</v>
      </c>
      <c r="C25" s="23" t="s">
        <v>11</v>
      </c>
      <c r="D25" s="20" t="s">
        <v>43</v>
      </c>
      <c r="E25" s="20" t="s">
        <v>91</v>
      </c>
      <c r="F25" s="20" t="s">
        <v>131</v>
      </c>
      <c r="G25" s="20" t="s">
        <v>162</v>
      </c>
      <c r="H25" s="20" t="s">
        <v>11</v>
      </c>
      <c r="I25" s="14" t="s">
        <v>289</v>
      </c>
      <c r="J25" s="20" t="s">
        <v>222</v>
      </c>
      <c r="K25" s="45" t="s">
        <v>289</v>
      </c>
      <c r="L25" s="20">
        <v>1</v>
      </c>
      <c r="M25" s="14">
        <f t="shared" si="1"/>
        <v>1000</v>
      </c>
      <c r="N25" s="20">
        <v>1005</v>
      </c>
      <c r="O25" s="47" t="s">
        <v>313</v>
      </c>
      <c r="P25" s="21" t="s">
        <v>361</v>
      </c>
      <c r="Q25" s="21">
        <f t="shared" ref="Q25" si="10">P25*N25</f>
        <v>92.661000000000001</v>
      </c>
      <c r="R25" s="20"/>
    </row>
    <row r="26" spans="1:18" s="50" customFormat="1">
      <c r="A26" s="49"/>
      <c r="B26" s="16">
        <f>ROW(B26) - ROW($B$7)</f>
        <v>19</v>
      </c>
      <c r="C26" s="22" t="s">
        <v>12</v>
      </c>
      <c r="D26" s="14" t="s">
        <v>44</v>
      </c>
      <c r="E26" s="14" t="s">
        <v>92</v>
      </c>
      <c r="F26" s="20" t="s">
        <v>290</v>
      </c>
      <c r="G26" s="14" t="s">
        <v>163</v>
      </c>
      <c r="H26" s="14" t="s">
        <v>196</v>
      </c>
      <c r="I26" s="14" t="s">
        <v>289</v>
      </c>
      <c r="J26" s="14" t="s">
        <v>223</v>
      </c>
      <c r="K26" s="45" t="s">
        <v>289</v>
      </c>
      <c r="L26" s="14">
        <v>1</v>
      </c>
      <c r="M26" s="14">
        <f t="shared" si="1"/>
        <v>1000</v>
      </c>
      <c r="N26" s="14">
        <v>1005</v>
      </c>
      <c r="O26" s="47" t="s">
        <v>313</v>
      </c>
      <c r="P26" s="15" t="s">
        <v>362</v>
      </c>
      <c r="Q26" s="15">
        <f>P26*N26</f>
        <v>150.4485</v>
      </c>
      <c r="R26" s="14"/>
    </row>
    <row r="27" spans="1:18" s="50" customFormat="1">
      <c r="A27" s="49"/>
      <c r="B27" s="17">
        <f t="shared" si="0"/>
        <v>20</v>
      </c>
      <c r="C27" s="23" t="s">
        <v>13</v>
      </c>
      <c r="D27" s="20" t="s">
        <v>45</v>
      </c>
      <c r="E27" s="20" t="s">
        <v>93</v>
      </c>
      <c r="F27" s="20" t="s">
        <v>132</v>
      </c>
      <c r="G27" s="20" t="s">
        <v>164</v>
      </c>
      <c r="H27" s="20" t="s">
        <v>190</v>
      </c>
      <c r="I27" s="14" t="s">
        <v>289</v>
      </c>
      <c r="J27" s="20" t="s">
        <v>224</v>
      </c>
      <c r="K27" s="45" t="s">
        <v>289</v>
      </c>
      <c r="L27" s="20">
        <v>4</v>
      </c>
      <c r="M27" s="14">
        <f t="shared" si="1"/>
        <v>4000</v>
      </c>
      <c r="N27" s="20">
        <v>4010</v>
      </c>
      <c r="O27" s="47" t="s">
        <v>313</v>
      </c>
      <c r="P27" s="21" t="s">
        <v>363</v>
      </c>
      <c r="Q27" s="21">
        <f t="shared" ref="Q27" si="11">P27*N27</f>
        <v>91.427999999999997</v>
      </c>
      <c r="R27" s="20"/>
    </row>
    <row r="28" spans="1:18" s="50" customFormat="1">
      <c r="A28" s="49"/>
      <c r="B28" s="16">
        <f>ROW(B28) - ROW($B$7)</f>
        <v>21</v>
      </c>
      <c r="C28" s="22" t="s">
        <v>14</v>
      </c>
      <c r="D28" s="14" t="s">
        <v>46</v>
      </c>
      <c r="E28" s="14" t="s">
        <v>94</v>
      </c>
      <c r="F28" s="20" t="s">
        <v>290</v>
      </c>
      <c r="G28" s="14" t="s">
        <v>133</v>
      </c>
      <c r="H28" s="14" t="s">
        <v>196</v>
      </c>
      <c r="I28" s="14" t="s">
        <v>289</v>
      </c>
      <c r="J28" s="14" t="s">
        <v>225</v>
      </c>
      <c r="K28" s="45" t="s">
        <v>289</v>
      </c>
      <c r="L28" s="14">
        <v>1</v>
      </c>
      <c r="M28" s="14">
        <f t="shared" si="1"/>
        <v>1000</v>
      </c>
      <c r="N28" s="14">
        <v>1002</v>
      </c>
      <c r="O28" s="47" t="s">
        <v>313</v>
      </c>
      <c r="P28" s="15" t="s">
        <v>364</v>
      </c>
      <c r="Q28" s="15">
        <f>P28*N28</f>
        <v>186.87299999999999</v>
      </c>
      <c r="R28" s="14"/>
    </row>
    <row r="29" spans="1:18" s="50" customFormat="1" ht="30">
      <c r="A29" s="49"/>
      <c r="B29" s="17">
        <f t="shared" si="0"/>
        <v>22</v>
      </c>
      <c r="C29" s="23" t="s">
        <v>15</v>
      </c>
      <c r="D29" s="20" t="s">
        <v>47</v>
      </c>
      <c r="E29" s="20" t="s">
        <v>95</v>
      </c>
      <c r="F29" s="20" t="s">
        <v>290</v>
      </c>
      <c r="G29" s="20" t="s">
        <v>134</v>
      </c>
      <c r="H29" s="20" t="s">
        <v>197</v>
      </c>
      <c r="I29" s="14" t="s">
        <v>289</v>
      </c>
      <c r="J29" s="20" t="s">
        <v>289</v>
      </c>
      <c r="K29" s="45" t="s">
        <v>289</v>
      </c>
      <c r="L29" s="20">
        <v>1</v>
      </c>
      <c r="M29" s="14">
        <f t="shared" si="1"/>
        <v>1000</v>
      </c>
      <c r="N29" s="20">
        <v>1002</v>
      </c>
      <c r="O29" s="47" t="s">
        <v>337</v>
      </c>
      <c r="P29" s="21">
        <v>0.91935</v>
      </c>
      <c r="Q29" s="21">
        <f t="shared" ref="Q29" si="12">P29*N29</f>
        <v>921.18870000000004</v>
      </c>
      <c r="R29" s="20"/>
    </row>
    <row r="30" spans="1:18" s="50" customFormat="1" ht="60">
      <c r="A30" s="49"/>
      <c r="B30" s="16">
        <f>ROW(B30) - ROW($B$7)</f>
        <v>23</v>
      </c>
      <c r="C30" s="22" t="s">
        <v>16</v>
      </c>
      <c r="D30" s="14" t="s">
        <v>48</v>
      </c>
      <c r="E30" s="14" t="s">
        <v>96</v>
      </c>
      <c r="F30" s="20" t="s">
        <v>290</v>
      </c>
      <c r="G30" s="14" t="s">
        <v>135</v>
      </c>
      <c r="H30" s="14" t="s">
        <v>198</v>
      </c>
      <c r="I30" s="14" t="s">
        <v>289</v>
      </c>
      <c r="J30" s="14" t="s">
        <v>226</v>
      </c>
      <c r="K30" s="45" t="s">
        <v>289</v>
      </c>
      <c r="L30" s="14">
        <v>1</v>
      </c>
      <c r="M30" s="14">
        <f t="shared" si="1"/>
        <v>1000</v>
      </c>
      <c r="N30" s="14">
        <v>1005</v>
      </c>
      <c r="O30" s="47" t="s">
        <v>313</v>
      </c>
      <c r="P30" s="15" t="s">
        <v>365</v>
      </c>
      <c r="Q30" s="15">
        <f>P30*N30</f>
        <v>91.354500000000002</v>
      </c>
      <c r="R30" s="14"/>
    </row>
    <row r="31" spans="1:18" s="50" customFormat="1" ht="48">
      <c r="A31" s="49"/>
      <c r="B31" s="17">
        <f t="shared" si="0"/>
        <v>24</v>
      </c>
      <c r="C31" s="23" t="s">
        <v>16</v>
      </c>
      <c r="D31" s="20" t="s">
        <v>49</v>
      </c>
      <c r="E31" s="20" t="s">
        <v>97</v>
      </c>
      <c r="F31" s="20" t="s">
        <v>290</v>
      </c>
      <c r="G31" s="20" t="s">
        <v>165</v>
      </c>
      <c r="H31" s="20" t="s">
        <v>199</v>
      </c>
      <c r="I31" s="14" t="s">
        <v>289</v>
      </c>
      <c r="J31" s="20" t="s">
        <v>227</v>
      </c>
      <c r="K31" s="45" t="s">
        <v>289</v>
      </c>
      <c r="L31" s="20">
        <v>1</v>
      </c>
      <c r="M31" s="14">
        <f t="shared" si="1"/>
        <v>1000</v>
      </c>
      <c r="N31" s="20">
        <v>1002</v>
      </c>
      <c r="O31" s="47" t="s">
        <v>313</v>
      </c>
      <c r="P31" s="21" t="s">
        <v>366</v>
      </c>
      <c r="Q31" s="21">
        <f t="shared" ref="Q31" si="13">P31*N31</f>
        <v>222.34379999999999</v>
      </c>
      <c r="R31" s="20"/>
    </row>
    <row r="32" spans="1:18" s="50" customFormat="1" ht="24">
      <c r="A32" s="49"/>
      <c r="B32" s="16">
        <f>ROW(B32) - ROW($B$7)</f>
        <v>25</v>
      </c>
      <c r="C32" s="22" t="s">
        <v>17</v>
      </c>
      <c r="D32" s="14" t="s">
        <v>50</v>
      </c>
      <c r="E32" s="14" t="s">
        <v>98</v>
      </c>
      <c r="F32" s="20" t="s">
        <v>290</v>
      </c>
      <c r="G32" s="14" t="s">
        <v>136</v>
      </c>
      <c r="H32" s="14" t="s">
        <v>200</v>
      </c>
      <c r="I32" s="14" t="s">
        <v>289</v>
      </c>
      <c r="J32" s="14" t="s">
        <v>228</v>
      </c>
      <c r="K32" s="45" t="s">
        <v>262</v>
      </c>
      <c r="L32" s="14">
        <v>6</v>
      </c>
      <c r="M32" s="14">
        <f t="shared" si="1"/>
        <v>6000</v>
      </c>
      <c r="N32" s="14">
        <v>6005</v>
      </c>
      <c r="O32" s="47" t="s">
        <v>313</v>
      </c>
      <c r="P32" s="15" t="s">
        <v>367</v>
      </c>
      <c r="Q32" s="15">
        <f>P32*N32</f>
        <v>326.67199999999997</v>
      </c>
      <c r="R32" s="14"/>
    </row>
    <row r="33" spans="1:18" s="50" customFormat="1">
      <c r="A33" s="49"/>
      <c r="B33" s="17">
        <f t="shared" si="0"/>
        <v>26</v>
      </c>
      <c r="C33" s="23" t="s">
        <v>18</v>
      </c>
      <c r="D33" s="20" t="s">
        <v>51</v>
      </c>
      <c r="E33" s="46" t="s">
        <v>289</v>
      </c>
      <c r="F33" s="20" t="s">
        <v>290</v>
      </c>
      <c r="G33" s="46" t="s">
        <v>289</v>
      </c>
      <c r="H33" s="20"/>
      <c r="I33" s="14" t="s">
        <v>289</v>
      </c>
      <c r="J33" s="20" t="s">
        <v>289</v>
      </c>
      <c r="K33" s="46" t="s">
        <v>289</v>
      </c>
      <c r="L33" s="20">
        <v>1</v>
      </c>
      <c r="M33" s="14">
        <f t="shared" si="1"/>
        <v>1000</v>
      </c>
      <c r="N33" s="20">
        <v>1002</v>
      </c>
      <c r="O33" s="20" t="s">
        <v>289</v>
      </c>
      <c r="P33" s="21">
        <v>0.93</v>
      </c>
      <c r="Q33" s="21">
        <f t="shared" ref="Q33" si="14">P33*N33</f>
        <v>931.86</v>
      </c>
      <c r="R33" s="20"/>
    </row>
    <row r="34" spans="1:18" s="50" customFormat="1" ht="24">
      <c r="A34" s="49"/>
      <c r="B34" s="16">
        <f>ROW(B34) - ROW($B$7)</f>
        <v>27</v>
      </c>
      <c r="C34" s="22" t="s">
        <v>19</v>
      </c>
      <c r="D34" s="14" t="s">
        <v>52</v>
      </c>
      <c r="E34" s="14" t="s">
        <v>99</v>
      </c>
      <c r="F34" s="14" t="s">
        <v>137</v>
      </c>
      <c r="G34" s="14" t="s">
        <v>166</v>
      </c>
      <c r="H34" s="14" t="s">
        <v>201</v>
      </c>
      <c r="I34" s="14" t="s">
        <v>289</v>
      </c>
      <c r="J34" s="14" t="s">
        <v>229</v>
      </c>
      <c r="K34" s="46" t="s">
        <v>289</v>
      </c>
      <c r="L34" s="14">
        <v>1</v>
      </c>
      <c r="M34" s="14">
        <f t="shared" si="1"/>
        <v>1000</v>
      </c>
      <c r="N34" s="14">
        <v>1002</v>
      </c>
      <c r="O34" s="47" t="s">
        <v>313</v>
      </c>
      <c r="P34" s="15" t="s">
        <v>368</v>
      </c>
      <c r="Q34" s="15">
        <f>P34*N34</f>
        <v>473.6454</v>
      </c>
      <c r="R34" s="14"/>
    </row>
    <row r="35" spans="1:18" s="50" customFormat="1" ht="25.5">
      <c r="A35" s="49"/>
      <c r="B35" s="17">
        <f t="shared" si="0"/>
        <v>28</v>
      </c>
      <c r="C35" s="23" t="s">
        <v>20</v>
      </c>
      <c r="D35" s="20" t="s">
        <v>53</v>
      </c>
      <c r="E35" s="20" t="s">
        <v>100</v>
      </c>
      <c r="F35" s="20" t="s">
        <v>290</v>
      </c>
      <c r="G35" s="20" t="s">
        <v>138</v>
      </c>
      <c r="H35" s="20" t="s">
        <v>194</v>
      </c>
      <c r="I35" s="14" t="s">
        <v>289</v>
      </c>
      <c r="J35" s="20" t="s">
        <v>230</v>
      </c>
      <c r="K35" s="46" t="s">
        <v>263</v>
      </c>
      <c r="L35" s="20">
        <v>3</v>
      </c>
      <c r="M35" s="14">
        <f t="shared" si="1"/>
        <v>3000</v>
      </c>
      <c r="N35" s="20">
        <v>3010</v>
      </c>
      <c r="O35" s="47" t="s">
        <v>313</v>
      </c>
      <c r="P35" s="21" t="s">
        <v>369</v>
      </c>
      <c r="Q35" s="21">
        <f t="shared" ref="Q35" si="15">P35*N35</f>
        <v>119.497</v>
      </c>
      <c r="R35" s="20"/>
    </row>
    <row r="36" spans="1:18" s="50" customFormat="1">
      <c r="A36" s="49"/>
      <c r="B36" s="16">
        <f>ROW(B36) - ROW($B$7)</f>
        <v>29</v>
      </c>
      <c r="C36" s="22" t="s">
        <v>21</v>
      </c>
      <c r="D36" s="14" t="s">
        <v>54</v>
      </c>
      <c r="E36" s="14" t="s">
        <v>101</v>
      </c>
      <c r="F36" s="14" t="s">
        <v>139</v>
      </c>
      <c r="G36" s="14" t="s">
        <v>167</v>
      </c>
      <c r="H36" s="14" t="s">
        <v>194</v>
      </c>
      <c r="I36" s="14" t="s">
        <v>289</v>
      </c>
      <c r="J36" s="14" t="s">
        <v>231</v>
      </c>
      <c r="K36" s="45" t="s">
        <v>264</v>
      </c>
      <c r="L36" s="14">
        <v>6</v>
      </c>
      <c r="M36" s="14">
        <f t="shared" si="1"/>
        <v>6000</v>
      </c>
      <c r="N36" s="14">
        <v>6050</v>
      </c>
      <c r="O36" s="47" t="s">
        <v>313</v>
      </c>
      <c r="P36" s="15" t="s">
        <v>370</v>
      </c>
      <c r="Q36" s="15">
        <f>P36*N36</f>
        <v>38.115000000000002</v>
      </c>
      <c r="R36" s="14"/>
    </row>
    <row r="37" spans="1:18" s="50" customFormat="1">
      <c r="A37" s="49"/>
      <c r="B37" s="17">
        <f t="shared" si="0"/>
        <v>30</v>
      </c>
      <c r="C37" s="23" t="s">
        <v>21</v>
      </c>
      <c r="D37" s="20" t="s">
        <v>55</v>
      </c>
      <c r="E37" s="20" t="s">
        <v>102</v>
      </c>
      <c r="F37" s="20" t="s">
        <v>139</v>
      </c>
      <c r="G37" s="20" t="s">
        <v>168</v>
      </c>
      <c r="H37" s="20" t="s">
        <v>194</v>
      </c>
      <c r="I37" s="14" t="s">
        <v>289</v>
      </c>
      <c r="J37" s="20" t="s">
        <v>232</v>
      </c>
      <c r="K37" s="46" t="s">
        <v>265</v>
      </c>
      <c r="L37" s="20">
        <v>4</v>
      </c>
      <c r="M37" s="14">
        <f t="shared" si="1"/>
        <v>4000</v>
      </c>
      <c r="N37" s="20">
        <v>4010</v>
      </c>
      <c r="O37" s="47" t="s">
        <v>313</v>
      </c>
      <c r="P37" s="21" t="s">
        <v>371</v>
      </c>
      <c r="Q37" s="21">
        <f t="shared" ref="Q37" si="16">P37*N37</f>
        <v>120.70099999999999</v>
      </c>
      <c r="R37" s="20"/>
    </row>
    <row r="38" spans="1:18" s="50" customFormat="1">
      <c r="A38" s="49"/>
      <c r="B38" s="16">
        <f>ROW(B38) - ROW($B$7)</f>
        <v>31</v>
      </c>
      <c r="C38" s="22" t="s">
        <v>21</v>
      </c>
      <c r="D38" s="14" t="s">
        <v>56</v>
      </c>
      <c r="E38" s="14" t="s">
        <v>103</v>
      </c>
      <c r="F38" s="14" t="s">
        <v>140</v>
      </c>
      <c r="G38" s="14" t="s">
        <v>169</v>
      </c>
      <c r="H38" s="14" t="s">
        <v>194</v>
      </c>
      <c r="I38" s="14" t="s">
        <v>289</v>
      </c>
      <c r="J38" s="14" t="s">
        <v>233</v>
      </c>
      <c r="K38" s="45" t="s">
        <v>266</v>
      </c>
      <c r="L38" s="14">
        <v>1</v>
      </c>
      <c r="M38" s="14">
        <f t="shared" si="1"/>
        <v>1000</v>
      </c>
      <c r="N38" s="14">
        <v>1020</v>
      </c>
      <c r="O38" s="47" t="s">
        <v>313</v>
      </c>
      <c r="P38" s="15" t="s">
        <v>372</v>
      </c>
      <c r="Q38" s="15">
        <f>P38*N38</f>
        <v>19.686</v>
      </c>
      <c r="R38" s="14"/>
    </row>
    <row r="39" spans="1:18" s="50" customFormat="1">
      <c r="A39" s="49"/>
      <c r="B39" s="17">
        <f t="shared" si="0"/>
        <v>32</v>
      </c>
      <c r="C39" s="23" t="s">
        <v>21</v>
      </c>
      <c r="D39" s="20" t="s">
        <v>57</v>
      </c>
      <c r="E39" s="20" t="s">
        <v>104</v>
      </c>
      <c r="F39" s="20" t="s">
        <v>141</v>
      </c>
      <c r="G39" s="20" t="s">
        <v>170</v>
      </c>
      <c r="H39" s="20" t="s">
        <v>194</v>
      </c>
      <c r="I39" s="14" t="s">
        <v>289</v>
      </c>
      <c r="J39" s="20" t="s">
        <v>234</v>
      </c>
      <c r="K39" s="46" t="s">
        <v>267</v>
      </c>
      <c r="L39" s="20">
        <v>1</v>
      </c>
      <c r="M39" s="14">
        <f t="shared" si="1"/>
        <v>1000</v>
      </c>
      <c r="N39" s="20">
        <v>1010</v>
      </c>
      <c r="O39" s="47" t="s">
        <v>313</v>
      </c>
      <c r="P39" s="21" t="s">
        <v>373</v>
      </c>
      <c r="Q39" s="21">
        <f t="shared" ref="Q39" si="17">P39*N39</f>
        <v>32.723999999999997</v>
      </c>
      <c r="R39" s="20"/>
    </row>
    <row r="40" spans="1:18" s="50" customFormat="1">
      <c r="A40" s="49"/>
      <c r="B40" s="16">
        <f>ROW(B40) - ROW($B$7)</f>
        <v>33</v>
      </c>
      <c r="C40" s="22" t="s">
        <v>22</v>
      </c>
      <c r="D40" s="14" t="s">
        <v>58</v>
      </c>
      <c r="E40" s="14" t="s">
        <v>105</v>
      </c>
      <c r="F40" s="14" t="s">
        <v>139</v>
      </c>
      <c r="G40" s="14" t="s">
        <v>171</v>
      </c>
      <c r="H40" s="14" t="s">
        <v>194</v>
      </c>
      <c r="I40" s="14" t="s">
        <v>289</v>
      </c>
      <c r="J40" s="14" t="s">
        <v>235</v>
      </c>
      <c r="K40" s="45" t="s">
        <v>268</v>
      </c>
      <c r="L40" s="14">
        <v>1</v>
      </c>
      <c r="M40" s="14">
        <f t="shared" si="1"/>
        <v>1000</v>
      </c>
      <c r="N40" s="14">
        <v>1050</v>
      </c>
      <c r="O40" s="47" t="s">
        <v>313</v>
      </c>
      <c r="P40" s="15" t="s">
        <v>374</v>
      </c>
      <c r="Q40" s="15">
        <f>P40*N40</f>
        <v>9.0299999999999994</v>
      </c>
      <c r="R40" s="14"/>
    </row>
    <row r="41" spans="1:18" s="50" customFormat="1">
      <c r="A41" s="49"/>
      <c r="B41" s="17">
        <f t="shared" si="0"/>
        <v>34</v>
      </c>
      <c r="C41" s="23" t="s">
        <v>22</v>
      </c>
      <c r="D41" s="20" t="s">
        <v>59</v>
      </c>
      <c r="E41" s="20" t="s">
        <v>106</v>
      </c>
      <c r="F41" s="20" t="s">
        <v>142</v>
      </c>
      <c r="G41" s="20" t="s">
        <v>172</v>
      </c>
      <c r="H41" s="20" t="s">
        <v>194</v>
      </c>
      <c r="I41" s="14" t="s">
        <v>289</v>
      </c>
      <c r="J41" s="20" t="s">
        <v>236</v>
      </c>
      <c r="K41" s="46" t="s">
        <v>269</v>
      </c>
      <c r="L41" s="20">
        <v>1</v>
      </c>
      <c r="M41" s="14">
        <f t="shared" si="1"/>
        <v>1000</v>
      </c>
      <c r="N41" s="20">
        <v>1100</v>
      </c>
      <c r="O41" s="47" t="s">
        <v>313</v>
      </c>
      <c r="P41" s="21" t="s">
        <v>375</v>
      </c>
      <c r="Q41" s="21">
        <f t="shared" ref="Q41" si="18">P41*N41</f>
        <v>1.1000000000000001</v>
      </c>
      <c r="R41" s="20"/>
    </row>
    <row r="42" spans="1:18" s="50" customFormat="1">
      <c r="A42" s="49"/>
      <c r="B42" s="16">
        <f>ROW(B42) - ROW($B$7)</f>
        <v>35</v>
      </c>
      <c r="C42" s="22" t="s">
        <v>22</v>
      </c>
      <c r="D42" s="14" t="s">
        <v>60</v>
      </c>
      <c r="E42" s="14" t="s">
        <v>107</v>
      </c>
      <c r="F42" s="14" t="s">
        <v>143</v>
      </c>
      <c r="G42" s="14" t="s">
        <v>173</v>
      </c>
      <c r="H42" s="14" t="s">
        <v>194</v>
      </c>
      <c r="I42" s="14" t="s">
        <v>289</v>
      </c>
      <c r="J42" s="14" t="s">
        <v>237</v>
      </c>
      <c r="K42" s="45" t="s">
        <v>270</v>
      </c>
      <c r="L42" s="14">
        <v>1</v>
      </c>
      <c r="M42" s="14">
        <f t="shared" si="1"/>
        <v>1000</v>
      </c>
      <c r="N42" s="14">
        <v>1100</v>
      </c>
      <c r="O42" s="47" t="s">
        <v>313</v>
      </c>
      <c r="P42" s="15" t="s">
        <v>352</v>
      </c>
      <c r="Q42" s="15">
        <f>P42*N42</f>
        <v>1.8699999999999999</v>
      </c>
      <c r="R42" s="14"/>
    </row>
    <row r="43" spans="1:18" s="50" customFormat="1">
      <c r="A43" s="49"/>
      <c r="B43" s="17">
        <f t="shared" si="0"/>
        <v>36</v>
      </c>
      <c r="C43" s="23" t="s">
        <v>21</v>
      </c>
      <c r="D43" s="20" t="s">
        <v>61</v>
      </c>
      <c r="E43" s="20" t="s">
        <v>108</v>
      </c>
      <c r="F43" s="20" t="s">
        <v>142</v>
      </c>
      <c r="G43" s="20" t="s">
        <v>174</v>
      </c>
      <c r="H43" s="20" t="s">
        <v>194</v>
      </c>
      <c r="I43" s="14" t="s">
        <v>289</v>
      </c>
      <c r="J43" s="20" t="s">
        <v>238</v>
      </c>
      <c r="K43" s="46" t="s">
        <v>271</v>
      </c>
      <c r="L43" s="20">
        <v>1</v>
      </c>
      <c r="M43" s="14">
        <f t="shared" si="1"/>
        <v>1000</v>
      </c>
      <c r="N43" s="20">
        <v>1100</v>
      </c>
      <c r="O43" s="47" t="s">
        <v>313</v>
      </c>
      <c r="P43" s="21" t="s">
        <v>376</v>
      </c>
      <c r="Q43" s="21">
        <f t="shared" ref="Q43" si="19">P43*N43</f>
        <v>0.65999999999999992</v>
      </c>
      <c r="R43" s="20"/>
    </row>
    <row r="44" spans="1:18" s="50" customFormat="1">
      <c r="A44" s="49"/>
      <c r="B44" s="16">
        <f>ROW(B44) - ROW($B$7)</f>
        <v>37</v>
      </c>
      <c r="C44" s="22" t="s">
        <v>21</v>
      </c>
      <c r="D44" s="14" t="s">
        <v>62</v>
      </c>
      <c r="E44" s="14" t="s">
        <v>109</v>
      </c>
      <c r="F44" s="14" t="s">
        <v>142</v>
      </c>
      <c r="G44" s="14" t="s">
        <v>175</v>
      </c>
      <c r="H44" s="14" t="s">
        <v>194</v>
      </c>
      <c r="I44" s="14" t="s">
        <v>289</v>
      </c>
      <c r="J44" s="14" t="s">
        <v>239</v>
      </c>
      <c r="K44" s="45" t="s">
        <v>272</v>
      </c>
      <c r="L44" s="14">
        <v>1</v>
      </c>
      <c r="M44" s="14">
        <f t="shared" si="1"/>
        <v>1000</v>
      </c>
      <c r="N44" s="14">
        <v>1100</v>
      </c>
      <c r="O44" s="47" t="s">
        <v>313</v>
      </c>
      <c r="P44" s="15" t="s">
        <v>377</v>
      </c>
      <c r="Q44" s="15">
        <f>P44*N44</f>
        <v>0.99</v>
      </c>
      <c r="R44" s="14"/>
    </row>
    <row r="45" spans="1:18" s="50" customFormat="1">
      <c r="A45" s="49"/>
      <c r="B45" s="17">
        <f t="shared" si="0"/>
        <v>38</v>
      </c>
      <c r="C45" s="23" t="s">
        <v>22</v>
      </c>
      <c r="D45" s="20" t="s">
        <v>63</v>
      </c>
      <c r="E45" s="20" t="s">
        <v>110</v>
      </c>
      <c r="F45" s="20" t="s">
        <v>142</v>
      </c>
      <c r="G45" s="20" t="s">
        <v>176</v>
      </c>
      <c r="H45" s="20" t="s">
        <v>194</v>
      </c>
      <c r="I45" s="14" t="s">
        <v>289</v>
      </c>
      <c r="J45" s="20" t="s">
        <v>240</v>
      </c>
      <c r="K45" s="46" t="s">
        <v>273</v>
      </c>
      <c r="L45" s="20">
        <v>1</v>
      </c>
      <c r="M45" s="14">
        <f t="shared" si="1"/>
        <v>1000</v>
      </c>
      <c r="N45" s="20">
        <v>1100</v>
      </c>
      <c r="O45" s="47" t="s">
        <v>313</v>
      </c>
      <c r="P45" s="21" t="s">
        <v>325</v>
      </c>
      <c r="Q45" s="21">
        <f t="shared" ref="Q45" si="20">P45*N45</f>
        <v>0.88</v>
      </c>
      <c r="R45" s="20"/>
    </row>
    <row r="46" spans="1:18" s="50" customFormat="1">
      <c r="A46" s="49"/>
      <c r="B46" s="16">
        <f>ROW(B46) - ROW($B$7)</f>
        <v>39</v>
      </c>
      <c r="C46" s="22" t="s">
        <v>21</v>
      </c>
      <c r="D46" s="14" t="s">
        <v>64</v>
      </c>
      <c r="E46" s="14" t="s">
        <v>111</v>
      </c>
      <c r="F46" s="14" t="s">
        <v>142</v>
      </c>
      <c r="G46" s="14" t="s">
        <v>177</v>
      </c>
      <c r="H46" s="14" t="s">
        <v>194</v>
      </c>
      <c r="I46" s="14" t="s">
        <v>289</v>
      </c>
      <c r="J46" s="14" t="s">
        <v>241</v>
      </c>
      <c r="K46" s="45" t="s">
        <v>274</v>
      </c>
      <c r="L46" s="14">
        <v>1</v>
      </c>
      <c r="M46" s="14">
        <f t="shared" si="1"/>
        <v>1000</v>
      </c>
      <c r="N46" s="14">
        <v>1020</v>
      </c>
      <c r="O46" s="47" t="s">
        <v>313</v>
      </c>
      <c r="P46" s="15" t="s">
        <v>378</v>
      </c>
      <c r="Q46" s="15">
        <f>P46*N46</f>
        <v>17.34</v>
      </c>
      <c r="R46" s="14"/>
    </row>
    <row r="47" spans="1:18" s="50" customFormat="1">
      <c r="A47" s="49"/>
      <c r="B47" s="17">
        <f t="shared" si="0"/>
        <v>40</v>
      </c>
      <c r="C47" s="23" t="s">
        <v>21</v>
      </c>
      <c r="D47" s="20" t="s">
        <v>65</v>
      </c>
      <c r="E47" s="20" t="s">
        <v>112</v>
      </c>
      <c r="F47" s="20" t="s">
        <v>139</v>
      </c>
      <c r="G47" s="20" t="s">
        <v>178</v>
      </c>
      <c r="H47" s="20" t="s">
        <v>194</v>
      </c>
      <c r="I47" s="14" t="s">
        <v>289</v>
      </c>
      <c r="J47" s="20" t="s">
        <v>242</v>
      </c>
      <c r="K47" s="46" t="s">
        <v>275</v>
      </c>
      <c r="L47" s="20">
        <v>1</v>
      </c>
      <c r="M47" s="14">
        <f t="shared" si="1"/>
        <v>1000</v>
      </c>
      <c r="N47" s="20">
        <v>1050</v>
      </c>
      <c r="O47" s="47" t="s">
        <v>313</v>
      </c>
      <c r="P47" s="21" t="s">
        <v>379</v>
      </c>
      <c r="Q47" s="21">
        <f t="shared" ref="Q47" si="21">P47*N47</f>
        <v>15.75</v>
      </c>
      <c r="R47" s="20"/>
    </row>
    <row r="48" spans="1:18" s="50" customFormat="1">
      <c r="A48" s="49"/>
      <c r="B48" s="16">
        <f>ROW(B48) - ROW($B$7)</f>
        <v>41</v>
      </c>
      <c r="C48" s="22" t="s">
        <v>21</v>
      </c>
      <c r="D48" s="14" t="s">
        <v>66</v>
      </c>
      <c r="E48" s="14" t="s">
        <v>113</v>
      </c>
      <c r="F48" s="14" t="s">
        <v>142</v>
      </c>
      <c r="G48" s="14" t="s">
        <v>179</v>
      </c>
      <c r="H48" s="14" t="s">
        <v>194</v>
      </c>
      <c r="I48" s="14" t="s">
        <v>289</v>
      </c>
      <c r="J48" s="14" t="s">
        <v>243</v>
      </c>
      <c r="K48" s="45" t="s">
        <v>276</v>
      </c>
      <c r="L48" s="14">
        <v>1</v>
      </c>
      <c r="M48" s="14">
        <f t="shared" si="1"/>
        <v>1000</v>
      </c>
      <c r="N48" s="14">
        <v>1020</v>
      </c>
      <c r="O48" s="47" t="s">
        <v>313</v>
      </c>
      <c r="P48" s="15" t="s">
        <v>357</v>
      </c>
      <c r="Q48" s="15">
        <f>P48*N48</f>
        <v>17.135999999999999</v>
      </c>
      <c r="R48" s="14"/>
    </row>
    <row r="49" spans="1:18" s="50" customFormat="1" ht="24">
      <c r="A49" s="49"/>
      <c r="B49" s="17">
        <f t="shared" si="0"/>
        <v>42</v>
      </c>
      <c r="C49" s="23" t="s">
        <v>21</v>
      </c>
      <c r="D49" s="20" t="s">
        <v>67</v>
      </c>
      <c r="E49" s="20" t="s">
        <v>114</v>
      </c>
      <c r="F49" s="20" t="s">
        <v>141</v>
      </c>
      <c r="G49" s="20" t="s">
        <v>180</v>
      </c>
      <c r="H49" s="20" t="s">
        <v>202</v>
      </c>
      <c r="I49" s="14" t="s">
        <v>289</v>
      </c>
      <c r="J49" s="20" t="s">
        <v>244</v>
      </c>
      <c r="K49" s="46" t="s">
        <v>277</v>
      </c>
      <c r="L49" s="20">
        <v>12</v>
      </c>
      <c r="M49" s="14">
        <f t="shared" si="1"/>
        <v>12000</v>
      </c>
      <c r="N49" s="20">
        <v>12005</v>
      </c>
      <c r="O49" s="47" t="s">
        <v>313</v>
      </c>
      <c r="P49" s="21" t="s">
        <v>380</v>
      </c>
      <c r="Q49" s="21">
        <f t="shared" ref="Q49" si="22">P49*N49</f>
        <v>1423.7929999999999</v>
      </c>
      <c r="R49" s="20"/>
    </row>
    <row r="50" spans="1:18" s="50" customFormat="1">
      <c r="A50" s="49"/>
      <c r="B50" s="16">
        <f>ROW(B50) - ROW($B$7)</f>
        <v>43</v>
      </c>
      <c r="C50" s="22" t="s">
        <v>22</v>
      </c>
      <c r="D50" s="14" t="s">
        <v>68</v>
      </c>
      <c r="E50" s="14" t="s">
        <v>115</v>
      </c>
      <c r="F50" s="14" t="s">
        <v>141</v>
      </c>
      <c r="G50" s="48" t="s">
        <v>181</v>
      </c>
      <c r="H50" s="14" t="s">
        <v>194</v>
      </c>
      <c r="I50" s="14" t="s">
        <v>339</v>
      </c>
      <c r="J50" s="14" t="s">
        <v>338</v>
      </c>
      <c r="K50" s="45" t="s">
        <v>273</v>
      </c>
      <c r="L50" s="14">
        <v>6</v>
      </c>
      <c r="M50" s="14">
        <f t="shared" si="1"/>
        <v>6000</v>
      </c>
      <c r="N50" s="14">
        <v>6050</v>
      </c>
      <c r="O50" s="47" t="s">
        <v>313</v>
      </c>
      <c r="P50" s="15" t="s">
        <v>381</v>
      </c>
      <c r="Q50" s="15">
        <f>P50*N50</f>
        <v>96.8</v>
      </c>
      <c r="R50" s="14"/>
    </row>
    <row r="51" spans="1:18" s="50" customFormat="1" ht="24">
      <c r="A51" s="49"/>
      <c r="B51" s="17">
        <f t="shared" si="0"/>
        <v>44</v>
      </c>
      <c r="C51" s="23" t="s">
        <v>23</v>
      </c>
      <c r="D51" s="20" t="s">
        <v>69</v>
      </c>
      <c r="E51" s="20" t="s">
        <v>116</v>
      </c>
      <c r="F51" s="20" t="s">
        <v>290</v>
      </c>
      <c r="G51" s="20" t="s">
        <v>144</v>
      </c>
      <c r="H51" s="20" t="s">
        <v>194</v>
      </c>
      <c r="I51" s="20" t="s">
        <v>289</v>
      </c>
      <c r="J51" s="20" t="s">
        <v>245</v>
      </c>
      <c r="K51" s="46" t="s">
        <v>289</v>
      </c>
      <c r="L51" s="20">
        <v>3</v>
      </c>
      <c r="M51" s="14">
        <f t="shared" si="1"/>
        <v>3000</v>
      </c>
      <c r="N51" s="20">
        <v>3010</v>
      </c>
      <c r="O51" s="47" t="s">
        <v>313</v>
      </c>
      <c r="P51" s="21" t="s">
        <v>382</v>
      </c>
      <c r="Q51" s="21">
        <f t="shared" ref="Q51" si="23">P51*N51</f>
        <v>128.226</v>
      </c>
      <c r="R51" s="20"/>
    </row>
    <row r="52" spans="1:18" s="50" customFormat="1" ht="36">
      <c r="A52" s="49"/>
      <c r="B52" s="16">
        <f>ROW(B52) - ROW($B$7)</f>
        <v>45</v>
      </c>
      <c r="C52" s="22" t="s">
        <v>24</v>
      </c>
      <c r="D52" s="14" t="s">
        <v>70</v>
      </c>
      <c r="E52" s="14" t="s">
        <v>117</v>
      </c>
      <c r="F52" s="14" t="s">
        <v>145</v>
      </c>
      <c r="G52" s="14" t="s">
        <v>182</v>
      </c>
      <c r="H52" s="14" t="s">
        <v>203</v>
      </c>
      <c r="I52" s="20" t="s">
        <v>289</v>
      </c>
      <c r="J52" s="14" t="s">
        <v>246</v>
      </c>
      <c r="K52" s="46" t="s">
        <v>289</v>
      </c>
      <c r="L52" s="14">
        <v>1</v>
      </c>
      <c r="M52" s="14">
        <f t="shared" si="1"/>
        <v>1000</v>
      </c>
      <c r="N52" s="14">
        <v>1002</v>
      </c>
      <c r="O52" s="47" t="s">
        <v>313</v>
      </c>
      <c r="P52" s="15" t="s">
        <v>383</v>
      </c>
      <c r="Q52" s="15">
        <f>P52*N52</f>
        <v>794.88660000000004</v>
      </c>
      <c r="R52" s="14"/>
    </row>
    <row r="53" spans="1:18" s="50" customFormat="1" ht="36">
      <c r="A53" s="49"/>
      <c r="B53" s="17">
        <f t="shared" si="0"/>
        <v>46</v>
      </c>
      <c r="C53" s="23" t="s">
        <v>24</v>
      </c>
      <c r="D53" s="20" t="s">
        <v>71</v>
      </c>
      <c r="E53" s="20" t="s">
        <v>118</v>
      </c>
      <c r="F53" s="20" t="s">
        <v>146</v>
      </c>
      <c r="G53" s="20" t="s">
        <v>183</v>
      </c>
      <c r="H53" s="20" t="s">
        <v>195</v>
      </c>
      <c r="I53" s="20" t="s">
        <v>289</v>
      </c>
      <c r="J53" s="20" t="s">
        <v>247</v>
      </c>
      <c r="K53" s="46" t="s">
        <v>289</v>
      </c>
      <c r="L53" s="20">
        <v>1</v>
      </c>
      <c r="M53" s="14">
        <f t="shared" si="1"/>
        <v>1000</v>
      </c>
      <c r="N53" s="20">
        <v>1005</v>
      </c>
      <c r="O53" s="47" t="s">
        <v>313</v>
      </c>
      <c r="P53" s="21" t="s">
        <v>384</v>
      </c>
      <c r="Q53" s="21">
        <f t="shared" ref="Q53" si="24">P53*N53</f>
        <v>132.459</v>
      </c>
      <c r="R53" s="20"/>
    </row>
    <row r="54" spans="1:18" s="50" customFormat="1" ht="24.75" thickBot="1">
      <c r="A54" s="49"/>
      <c r="B54" s="16">
        <f>ROW(B54) - ROW($B$7)</f>
        <v>47</v>
      </c>
      <c r="C54" s="22" t="s">
        <v>24</v>
      </c>
      <c r="D54" s="14" t="s">
        <v>72</v>
      </c>
      <c r="E54" s="14" t="s">
        <v>119</v>
      </c>
      <c r="F54" s="14" t="s">
        <v>147</v>
      </c>
      <c r="G54" s="14" t="s">
        <v>184</v>
      </c>
      <c r="H54" s="14" t="s">
        <v>204</v>
      </c>
      <c r="I54" s="20" t="s">
        <v>289</v>
      </c>
      <c r="J54" s="14" t="s">
        <v>248</v>
      </c>
      <c r="K54" s="46" t="s">
        <v>289</v>
      </c>
      <c r="L54" s="14">
        <v>1</v>
      </c>
      <c r="M54" s="14">
        <f t="shared" si="1"/>
        <v>1000</v>
      </c>
      <c r="N54" s="14">
        <v>1005</v>
      </c>
      <c r="O54" s="47" t="s">
        <v>313</v>
      </c>
      <c r="P54" s="15" t="s">
        <v>362</v>
      </c>
      <c r="Q54" s="15">
        <f>P54*N54</f>
        <v>150.4485</v>
      </c>
      <c r="R54" s="14"/>
    </row>
    <row r="55" spans="1:18" ht="19.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43" t="s">
        <v>3</v>
      </c>
      <c r="O55" s="44"/>
      <c r="P55" s="44"/>
      <c r="Q55" s="18">
        <f>SUM(Q8:Q54)</f>
        <v>9451.0178000000014</v>
      </c>
      <c r="R55" s="1"/>
    </row>
    <row r="56" spans="1:18" ht="19.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43" t="s">
        <v>4</v>
      </c>
      <c r="O56" s="44"/>
      <c r="P56" s="44"/>
      <c r="Q56" s="19">
        <f>Q55/1000</f>
        <v>9.4510178000000007</v>
      </c>
      <c r="R56" s="1"/>
    </row>
  </sheetData>
  <mergeCells count="3">
    <mergeCell ref="K1:R1"/>
    <mergeCell ref="N55:P55"/>
    <mergeCell ref="N56:P56"/>
  </mergeCells>
  <hyperlinks>
    <hyperlink ref="O8" r:id="rId1"/>
    <hyperlink ref="O10" r:id="rId2"/>
    <hyperlink ref="O11" r:id="rId3"/>
    <hyperlink ref="O12" r:id="rId4"/>
    <hyperlink ref="O13" r:id="rId5"/>
    <hyperlink ref="O14" r:id="rId6"/>
    <hyperlink ref="O15" r:id="rId7"/>
    <hyperlink ref="O16" r:id="rId8"/>
    <hyperlink ref="O17" r:id="rId9"/>
    <hyperlink ref="O18" r:id="rId10"/>
    <hyperlink ref="O19" r:id="rId11"/>
    <hyperlink ref="O20" r:id="rId12"/>
    <hyperlink ref="O22" r:id="rId13"/>
    <hyperlink ref="O23" r:id="rId14"/>
    <hyperlink ref="O24" r:id="rId15"/>
    <hyperlink ref="O25" r:id="rId16"/>
    <hyperlink ref="O26" r:id="rId17"/>
    <hyperlink ref="O27" r:id="rId18"/>
    <hyperlink ref="O28" r:id="rId19"/>
    <hyperlink ref="O30" r:id="rId20"/>
    <hyperlink ref="O31" r:id="rId21"/>
    <hyperlink ref="O32" r:id="rId22"/>
    <hyperlink ref="O34" r:id="rId23"/>
    <hyperlink ref="O35" r:id="rId24"/>
    <hyperlink ref="O36" r:id="rId25"/>
    <hyperlink ref="O37" r:id="rId26"/>
    <hyperlink ref="O38" r:id="rId27"/>
    <hyperlink ref="O39" r:id="rId28"/>
    <hyperlink ref="O40" r:id="rId29"/>
    <hyperlink ref="O41" r:id="rId30"/>
    <hyperlink ref="O42" r:id="rId31"/>
    <hyperlink ref="O43" r:id="rId32"/>
    <hyperlink ref="O44" r:id="rId33"/>
    <hyperlink ref="O45" r:id="rId34"/>
    <hyperlink ref="O46" r:id="rId35"/>
    <hyperlink ref="O47" r:id="rId36"/>
    <hyperlink ref="O48" r:id="rId37"/>
    <hyperlink ref="O49" r:id="rId38"/>
    <hyperlink ref="O51" r:id="rId39"/>
    <hyperlink ref="O52" r:id="rId40"/>
    <hyperlink ref="O53" r:id="rId41"/>
    <hyperlink ref="O54" r:id="rId42"/>
    <hyperlink ref="O9" r:id="rId43"/>
    <hyperlink ref="O21" r:id="rId44"/>
    <hyperlink ref="O29" r:id="rId45"/>
    <hyperlink ref="O50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 Boards</vt:lpstr>
      <vt:lpstr>1000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2025-03-03T07:13:39Z</dcterms:modified>
</cp:coreProperties>
</file>