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VIM_v1.5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<sst xmlns="http://schemas.openxmlformats.org/spreadsheetml/2006/main" count="339" uniqueCount="238">
  <si>
    <t>#</t>
  </si>
  <si>
    <t>Item Type</t>
  </si>
  <si>
    <t>Bridge</t>
  </si>
  <si>
    <t>Film Capacitors</t>
  </si>
  <si>
    <t>Capacitor</t>
  </si>
  <si>
    <t>Capacitors</t>
  </si>
  <si>
    <t>Tantalum Capacitors</t>
  </si>
  <si>
    <t>Diodes</t>
  </si>
  <si>
    <t>Fuses</t>
  </si>
  <si>
    <t>Ferrite Beads</t>
  </si>
  <si>
    <t>Fuse Holders</t>
  </si>
  <si>
    <t>Connectors</t>
  </si>
  <si>
    <t>Terminal Block</t>
  </si>
  <si>
    <t>Inductor</t>
  </si>
  <si>
    <t>Transformer</t>
  </si>
  <si>
    <t>Mosfet</t>
  </si>
  <si>
    <t>Through-Hole Resistors</t>
  </si>
  <si>
    <t>Resistors</t>
  </si>
  <si>
    <t>Resistor</t>
  </si>
  <si>
    <t>Varistors</t>
  </si>
  <si>
    <t>IC</t>
  </si>
  <si>
    <t>Designator</t>
  </si>
  <si>
    <t>BR1, BR2</t>
  </si>
  <si>
    <t>C1, C9, C12</t>
  </si>
  <si>
    <t>C2, C10</t>
  </si>
  <si>
    <t>C3, C4, C5, C6</t>
  </si>
  <si>
    <t>C7</t>
  </si>
  <si>
    <t>C8</t>
  </si>
  <si>
    <t>C11</t>
  </si>
  <si>
    <t>C13</t>
  </si>
  <si>
    <t>C14</t>
  </si>
  <si>
    <t>C15, C17</t>
  </si>
  <si>
    <t>C16</t>
  </si>
  <si>
    <t>C18</t>
  </si>
  <si>
    <t>C19, C22, C25</t>
  </si>
  <si>
    <t>C20, C21, C23, C24, C26, C27</t>
  </si>
  <si>
    <t>D1</t>
  </si>
  <si>
    <t>D2</t>
  </si>
  <si>
    <t>D3</t>
  </si>
  <si>
    <t>D4</t>
  </si>
  <si>
    <t>F1</t>
  </si>
  <si>
    <t>FB1, FB2, FB3, FB4</t>
  </si>
  <si>
    <t>J1</t>
  </si>
  <si>
    <t>J2</t>
  </si>
  <si>
    <t>J3</t>
  </si>
  <si>
    <t>J4</t>
  </si>
  <si>
    <t>L1, L2, L3, L5, L6, L7</t>
  </si>
  <si>
    <t>L4</t>
  </si>
  <si>
    <t>Q1</t>
  </si>
  <si>
    <t>R1, R7, R12</t>
  </si>
  <si>
    <t>R2, R3, R9, R11, R13, R16</t>
  </si>
  <si>
    <t>R4, R8, R10, R14</t>
  </si>
  <si>
    <t>R5</t>
  </si>
  <si>
    <t>R6</t>
  </si>
  <si>
    <t>R15</t>
  </si>
  <si>
    <t>R17</t>
  </si>
  <si>
    <t>R18</t>
  </si>
  <si>
    <t>R19</t>
  </si>
  <si>
    <t>R20</t>
  </si>
  <si>
    <t>R21</t>
  </si>
  <si>
    <t>R22</t>
  </si>
  <si>
    <t>R23</t>
  </si>
  <si>
    <t>R24</t>
  </si>
  <si>
    <t>R25, R26, R27, R28, R31, R32, R33, R34, R37, R38, R39, R40</t>
  </si>
  <si>
    <t>R29, R30, R35, R36, R41, R42</t>
  </si>
  <si>
    <t>RV1, RV2, RV3</t>
  </si>
  <si>
    <t>U1</t>
  </si>
  <si>
    <t>U2</t>
  </si>
  <si>
    <t>U3</t>
  </si>
  <si>
    <t>Description</t>
  </si>
  <si>
    <t>30A 950mV@400mA 1A 800V LMBS-1 Bridge Rectifiers ROHS</t>
  </si>
  <si>
    <t>CAP FILM 0.1UF 20% 630VDC RADIAL</t>
  </si>
  <si>
    <t>33uF 420V 1Ω@100kHz 430mA@100kHz ±20% Plugin,D10xL16mm Aluminum Electrolytic Capacitors - Leaded ROHS</t>
  </si>
  <si>
    <t>CAP ALUM 68UF 20% 25V SMD</t>
  </si>
  <si>
    <t>CAP CER 1000PF 1KV X7R 1206</t>
  </si>
  <si>
    <t>10nF -40℃~+105℃ ±5% 1kV Plugin,P=15mm Polypropylene Film Capacitors (CBB) ROHS</t>
  </si>
  <si>
    <t>CAP CER 1000PF 440VAC Y5U RADIAL</t>
  </si>
  <si>
    <t>CAP TANT 10UF 10% 35V 2312</t>
  </si>
  <si>
    <t>CAP CER 10000PF 50V X7R 0603</t>
  </si>
  <si>
    <t>CAP CER 1UF 50V X7R 0603</t>
  </si>
  <si>
    <t>CAP CER 0.22UF 25V X7R 0603</t>
  </si>
  <si>
    <t>CAP CER 220PF 50V X7R 0603</t>
  </si>
  <si>
    <t>51 pF ±1% 250V Ceramic Capacitor C0G, NP0 0603 (1608 Metric)</t>
  </si>
  <si>
    <t>CAP CER 0.022UF 500V X7R 1206</t>
  </si>
  <si>
    <t>DIODE SCHOTTKY 150V 20A TO2773</t>
  </si>
  <si>
    <t>DIODE ZENER 15V 500MW SOD123</t>
  </si>
  <si>
    <t>DIODE STANDARD 800V 1A SMA</t>
  </si>
  <si>
    <t>DIODE STANDARD 150V 1A SMA</t>
  </si>
  <si>
    <t>FUSE BRD MNT 1.5A 125VAC/VDC SMD</t>
  </si>
  <si>
    <t>FERRITE BEAD 1.5 KOHM 0805 1LN</t>
  </si>
  <si>
    <t>FUSE BLOK CARTRIDGE 125V 10A SMD</t>
  </si>
  <si>
    <t>CONN HDR 24POS 0.1 GOLD PCB R/A</t>
  </si>
  <si>
    <t>450V 17.5A 4 Bend -40℃~+105℃ 1 5.08mm Green Board Edge/Receptacle-Open Push-Pull,P=5.08mm Pluggable System Terminal Block ROHS</t>
  </si>
  <si>
    <t>450V 17.5A 4 -40℃~+105℃ 1.5 1 14~28 5.08mm 1x4P Green Plug P=5.08mm Pluggable System Terminal Block ROHS</t>
  </si>
  <si>
    <t>420mA 470uH EI-core Inductor ±20% Plugin Power Inductors ROHS</t>
  </si>
  <si>
    <t>Power Transformers Flyback Transformer for LT8316</t>
  </si>
  <si>
    <t>900V 5.1A 83W 1.2Ω@10V,2.8A 3.5V 1 N-channel TO-252-3 MOSFETs ROHS</t>
  </si>
  <si>
    <t>RES 1 OHM 5% 2W AXIAL</t>
  </si>
  <si>
    <t>RES 10K OHM 1% 1/2W 1206</t>
  </si>
  <si>
    <t>RES SMD 976K OHM 0.1% 1/4W 1206</t>
  </si>
  <si>
    <t>RES SMD 100 OHM 1% 3/4W 2010</t>
  </si>
  <si>
    <t>RES SMD 47K OHM 1% 1W 2512</t>
  </si>
  <si>
    <t>RES 10 OHM 1% 1/4W 1206</t>
  </si>
  <si>
    <t>RES 49.9 OHM 1% 1/10W 0603</t>
  </si>
  <si>
    <t>RES 0 OHM JUMPER 1/8W 0805</t>
  </si>
  <si>
    <t>RES 100K OHM 1% 1/10W 0603</t>
  </si>
  <si>
    <t>RES 4.99K OHM 1% 1/10W 0603</t>
  </si>
  <si>
    <t>RES SMD 1K OHM 1% 1/10W 0603</t>
  </si>
  <si>
    <t>RES SMD 66.5KOHM 0.1% 1/10W 0603</t>
  </si>
  <si>
    <t>RES 0.75 OHM 1% 1/2W 1206</t>
  </si>
  <si>
    <t>RES SMD 26.1KOHM 0.1% 1/10W 0603</t>
  </si>
  <si>
    <t>RES SMD 200K OHM 1% 1W 2512</t>
  </si>
  <si>
    <t>RES 1K OHM 5% 1W 2512</t>
  </si>
  <si>
    <t>775V 385V 300V 470V Plugin Varistors ROHS</t>
  </si>
  <si>
    <t>IC OFFLINE SW MULT TOP 8VSSOP</t>
  </si>
  <si>
    <t>OPTOISOLATOR 5KV TRANSISTOR 4DIP</t>
  </si>
  <si>
    <t>IC VREF SHUNT ADJ 1% SOT23-3</t>
  </si>
  <si>
    <t>Footprint</t>
  </si>
  <si>
    <t>LMBS-1</t>
  </si>
  <si>
    <t>B32921C3104M000</t>
  </si>
  <si>
    <t>87EC0494</t>
  </si>
  <si>
    <t>Cap-1206</t>
  </si>
  <si>
    <t>KP103J1000VP15</t>
  </si>
  <si>
    <t>VY2102M29Y5US6TV7</t>
  </si>
  <si>
    <t>Case-C</t>
  </si>
  <si>
    <t>Cap-0603</t>
  </si>
  <si>
    <t>TO-277A</t>
  </si>
  <si>
    <t>SOD-123W</t>
  </si>
  <si>
    <t>SMA</t>
  </si>
  <si>
    <t>Ind-0805</t>
  </si>
  <si>
    <t>01550900M</t>
  </si>
  <si>
    <t>SFH11-PBPC-D12-RA-BK</t>
  </si>
  <si>
    <t>DB2ER-5.08-4P-GN</t>
  </si>
  <si>
    <t>PK0810-471MB</t>
  </si>
  <si>
    <t>11328-T078</t>
  </si>
  <si>
    <t>TO-252-2L</t>
  </si>
  <si>
    <t>FMP200JR-52-1R</t>
  </si>
  <si>
    <t>Res-1206</t>
  </si>
  <si>
    <t>Res_1210</t>
  </si>
  <si>
    <t>RES-2512</t>
  </si>
  <si>
    <t>Res-0603</t>
  </si>
  <si>
    <t>Res-0805</t>
  </si>
  <si>
    <t>471KD10J</t>
  </si>
  <si>
    <t>8-VSSOP (Pitch 0.65mm)(5x3.1mm)</t>
  </si>
  <si>
    <t>DIP-4</t>
  </si>
  <si>
    <t>SOT-23</t>
  </si>
  <si>
    <t>Manufacturer Part Number</t>
  </si>
  <si>
    <t>LMB8S-TP</t>
  </si>
  <si>
    <t>EEE-FK1E680P</t>
  </si>
  <si>
    <t>GRM31BR73A102KW01L</t>
  </si>
  <si>
    <t>TAJC106K035RNJ</t>
  </si>
  <si>
    <t>CC0603KRX7R9BB103</t>
  </si>
  <si>
    <t>CC0603KRX7R9BB105</t>
  </si>
  <si>
    <t>CC0603KRX7R8BB224</t>
  </si>
  <si>
    <t>CC0603JRX7R9BB221</t>
  </si>
  <si>
    <t>GQM1875C2E510FB12D</t>
  </si>
  <si>
    <t>CC1206KKX7RBBB223</t>
  </si>
  <si>
    <t>FSV20150V</t>
  </si>
  <si>
    <t>MMSZ5245B-7-F</t>
  </si>
  <si>
    <t>US1K-13-F</t>
  </si>
  <si>
    <t>ES1C-13-F</t>
  </si>
  <si>
    <t>045301.5MR</t>
  </si>
  <si>
    <t>BLM21BD152SN1D</t>
  </si>
  <si>
    <t>DB2EK-5.08-4P-GN-S</t>
  </si>
  <si>
    <t>IPD90R1K2C3</t>
  </si>
  <si>
    <t>AC1206FR-7W10KL</t>
  </si>
  <si>
    <t>RT1206BRD07976KL</t>
  </si>
  <si>
    <t>AC2010FK-07100RL</t>
  </si>
  <si>
    <t>AC2512FK-0747KL</t>
  </si>
  <si>
    <t>RC1206FR-0710RL</t>
  </si>
  <si>
    <t>RC0603FR-0749R9L</t>
  </si>
  <si>
    <t>RC0805FR-070RL</t>
  </si>
  <si>
    <t>RC0603FR-07100KL</t>
  </si>
  <si>
    <t>RC0603FR-074K99L</t>
  </si>
  <si>
    <t>RC0603FR-071KL</t>
  </si>
  <si>
    <t>RT0603BRD0766K5L</t>
  </si>
  <si>
    <t>RL1206FR-7W0R75L</t>
  </si>
  <si>
    <t>RT0603BRD0726K1L</t>
  </si>
  <si>
    <t>CRCW2512200KFKEG</t>
  </si>
  <si>
    <t>RC2512JK-071KL</t>
  </si>
  <si>
    <t>LM5021MM-1/NOPB</t>
  </si>
  <si>
    <t>FOD817A</t>
  </si>
  <si>
    <t>ATL431AIDBZR</t>
  </si>
  <si>
    <t>Manufacturer</t>
  </si>
  <si>
    <t>MCC(Micro Commercial Components)</t>
  </si>
  <si>
    <t>TDK EPCOS</t>
  </si>
  <si>
    <t>KNSCHA</t>
  </si>
  <si>
    <t>Panasonic</t>
  </si>
  <si>
    <t>Murata</t>
  </si>
  <si>
    <t>KYET</t>
  </si>
  <si>
    <t>Vishay BCcomponents</t>
  </si>
  <si>
    <t>Kyocera AVX</t>
  </si>
  <si>
    <t>Yageo</t>
  </si>
  <si>
    <t>ON Semiconductor / Fairchild</t>
  </si>
  <si>
    <t>Littelfuse</t>
  </si>
  <si>
    <t>Sullins</t>
  </si>
  <si>
    <t>DIBO</t>
  </si>
  <si>
    <t>DORABO</t>
  </si>
  <si>
    <t>SXN(Shun Xiang Nuo Elec)</t>
  </si>
  <si>
    <t>Sumida</t>
  </si>
  <si>
    <t>Infineon</t>
  </si>
  <si>
    <t>Vishay Dale</t>
  </si>
  <si>
    <t>TI National Semiconductor</t>
  </si>
  <si>
    <t>Texas Instruments</t>
  </si>
  <si>
    <t>0.1uF</t>
  </si>
  <si>
    <t>33uF</t>
  </si>
  <si>
    <t>68uF</t>
  </si>
  <si>
    <t>1nF</t>
  </si>
  <si>
    <t>10nF</t>
  </si>
  <si>
    <t>10uF</t>
  </si>
  <si>
    <t>0.01uF</t>
  </si>
  <si>
    <t>1uF</t>
  </si>
  <si>
    <t>220nF</t>
  </si>
  <si>
    <t>220pF</t>
  </si>
  <si>
    <t>51pF</t>
  </si>
  <si>
    <t>22nF</t>
  </si>
  <si>
    <t>15V</t>
  </si>
  <si>
    <t>470uH</t>
  </si>
  <si>
    <t>1R</t>
  </si>
  <si>
    <t>10K</t>
  </si>
  <si>
    <t>976K</t>
  </si>
  <si>
    <t>100R</t>
  </si>
  <si>
    <t>47K</t>
  </si>
  <si>
    <t>10R</t>
  </si>
  <si>
    <t>49.9R</t>
  </si>
  <si>
    <t>0R</t>
  </si>
  <si>
    <t>100K</t>
  </si>
  <si>
    <t>4.99K</t>
  </si>
  <si>
    <t>1K</t>
  </si>
  <si>
    <t>66.5K</t>
  </si>
  <si>
    <t>750mR</t>
  </si>
  <si>
    <t>26.1K</t>
  </si>
  <si>
    <t>200K</t>
  </si>
  <si>
    <t>Quantity</t>
  </si>
  <si>
    <t>Value</t>
  </si>
  <si>
    <t>Remarks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</si>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</sst>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9"/>
  <sheetViews>
    <sheetView tabSelected="1" topLeftCell="A28" workbookViewId="0">
      <selection activeCell="G47" sqref="G47"/>
    </sheetView>
  </sheetViews>
  <sheetFormatPr defaultRowHeight="15" x14ac:dyDescent="0.25"/>
  <cols>
    <col min="2" max="2" width="3" style="4" bestFit="1" customWidth="1"/>
    <col min="3" max="3" width="18.7109375" style="4" bestFit="1" customWidth="1"/>
    <col min="4" max="4" width="36" bestFit="1" customWidth="1"/>
    <col min="5" max="5" width="30" customWidth="1"/>
    <col min="6" max="6" width="15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21</v>
      </c>
      <c r="E2" s="6" t="s">
        <v>69</v>
      </c>
      <c r="F2" s="5" t="s">
        <v>117</v>
      </c>
      <c r="G2" s="6" t="s">
        <v>146</v>
      </c>
      <c r="H2" s="5" t="s">
        <v>183</v>
      </c>
      <c r="I2" s="6" t="s">
        <v>234</v>
      </c>
      <c r="J2" s="5" t="s">
        <v>233</v>
      </c>
      <c r="K2" s="5" t="s">
        <v>235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22</v>
      </c>
      <c r="E3" s="8" t="s">
        <v>70</v>
      </c>
      <c r="F3" s="7" t="s">
        <v>118</v>
      </c>
      <c r="G3" s="8" t="s">
        <v>147</v>
      </c>
      <c r="H3" s="7" t="s">
        <v>184</v>
      </c>
      <c r="I3" s="8" t="s">
        <v>236</v>
      </c>
      <c r="J3" s="7">
        <v>2</v>
      </c>
      <c r="K3" s="7"/>
    </row>
    <row r="4" spans="1:11" ht="15.75" thickBot="1" x14ac:dyDescent="0.3">
      <c r="A4" s="1"/>
      <c r="B4" s="11">
        <f t="shared" ref="B4:B48" si="0">ROW(B4) - ROW($B$2)</f>
        <v>2</v>
      </c>
      <c r="C4" s="13" t="s">
        <v>3</v>
      </c>
      <c r="D4" s="9" t="s">
        <v>23</v>
      </c>
      <c r="E4" s="10" t="s">
        <v>71</v>
      </c>
      <c r="F4" s="9" t="s">
        <v>237</v>
      </c>
      <c r="G4" s="10" t="s">
        <v>119</v>
      </c>
      <c r="H4" s="9" t="s">
        <v>185</v>
      </c>
      <c r="I4" s="10" t="s">
        <v>204</v>
      </c>
      <c r="J4" s="9">
        <v>3</v>
      </c>
      <c r="K4" s="9"/>
    </row>
    <row r="5" spans="1:11" ht="60.75" thickBot="1" x14ac:dyDescent="0.3">
      <c r="A5" s="1"/>
      <c r="B5" s="11">
        <f>ROW(B5) - ROW($B$2)</f>
        <v>3</v>
      </c>
      <c r="C5" s="12" t="s">
        <v>4</v>
      </c>
      <c r="D5" s="7" t="s">
        <v>24</v>
      </c>
      <c r="E5" s="8" t="s">
        <v>72</v>
      </c>
      <c r="F5" s="9" t="s">
        <v>237</v>
      </c>
      <c r="G5" s="8" t="s">
        <v>120</v>
      </c>
      <c r="H5" s="7" t="s">
        <v>186</v>
      </c>
      <c r="I5" s="8" t="s">
        <v>205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25</v>
      </c>
      <c r="E6" s="10" t="s">
        <v>73</v>
      </c>
      <c r="F6" s="9" t="s">
        <v>237</v>
      </c>
      <c r="G6" s="10" t="s">
        <v>148</v>
      </c>
      <c r="H6" s="9" t="s">
        <v>187</v>
      </c>
      <c r="I6" s="10" t="s">
        <v>206</v>
      </c>
      <c r="J6" s="9">
        <v>4</v>
      </c>
      <c r="K6" s="9"/>
    </row>
    <row r="7" spans="1:11" ht="15.75" thickBot="1" x14ac:dyDescent="0.3">
      <c r="A7" s="1"/>
      <c r="B7" s="11">
        <f>ROW(B7) - ROW($B$2)</f>
        <v>5</v>
      </c>
      <c r="C7" s="12" t="s">
        <v>5</v>
      </c>
      <c r="D7" s="7" t="s">
        <v>26</v>
      </c>
      <c r="E7" s="8" t="s">
        <v>74</v>
      </c>
      <c r="F7" s="7" t="s">
        <v>121</v>
      </c>
      <c r="G7" s="8" t="s">
        <v>149</v>
      </c>
      <c r="H7" s="7" t="s">
        <v>188</v>
      </c>
      <c r="I7" s="8" t="s">
        <v>207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4</v>
      </c>
      <c r="D8" s="9" t="s">
        <v>27</v>
      </c>
      <c r="E8" s="10" t="s">
        <v>75</v>
      </c>
      <c r="F8" s="9" t="s">
        <v>237</v>
      </c>
      <c r="G8" s="10" t="s">
        <v>122</v>
      </c>
      <c r="H8" s="9" t="s">
        <v>189</v>
      </c>
      <c r="I8" s="10" t="s">
        <v>208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5</v>
      </c>
      <c r="D9" s="7" t="s">
        <v>28</v>
      </c>
      <c r="E9" s="8" t="s">
        <v>76</v>
      </c>
      <c r="F9" s="9" t="s">
        <v>237</v>
      </c>
      <c r="G9" s="8" t="s">
        <v>123</v>
      </c>
      <c r="H9" s="7" t="s">
        <v>190</v>
      </c>
      <c r="I9" s="8" t="s">
        <v>207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6</v>
      </c>
      <c r="D10" s="9" t="s">
        <v>29</v>
      </c>
      <c r="E10" s="10" t="s">
        <v>77</v>
      </c>
      <c r="F10" s="9" t="s">
        <v>124</v>
      </c>
      <c r="G10" s="10" t="s">
        <v>150</v>
      </c>
      <c r="H10" s="9" t="s">
        <v>191</v>
      </c>
      <c r="I10" s="10" t="s">
        <v>209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4</v>
      </c>
      <c r="D11" s="7" t="s">
        <v>30</v>
      </c>
      <c r="E11" s="8" t="s">
        <v>78</v>
      </c>
      <c r="F11" s="7" t="s">
        <v>125</v>
      </c>
      <c r="G11" s="8" t="s">
        <v>151</v>
      </c>
      <c r="H11" s="7" t="s">
        <v>192</v>
      </c>
      <c r="I11" s="8" t="s">
        <v>210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5</v>
      </c>
      <c r="D12" s="9" t="s">
        <v>31</v>
      </c>
      <c r="E12" s="10" t="s">
        <v>79</v>
      </c>
      <c r="F12" s="9" t="s">
        <v>125</v>
      </c>
      <c r="G12" s="10" t="s">
        <v>152</v>
      </c>
      <c r="H12" s="9" t="s">
        <v>192</v>
      </c>
      <c r="I12" s="10" t="s">
        <v>211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32</v>
      </c>
      <c r="E13" s="8" t="s">
        <v>80</v>
      </c>
      <c r="F13" s="7" t="s">
        <v>125</v>
      </c>
      <c r="G13" s="8" t="s">
        <v>153</v>
      </c>
      <c r="H13" s="7" t="s">
        <v>192</v>
      </c>
      <c r="I13" s="8" t="s">
        <v>212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5</v>
      </c>
      <c r="D14" s="9" t="s">
        <v>33</v>
      </c>
      <c r="E14" s="10" t="s">
        <v>81</v>
      </c>
      <c r="F14" s="9" t="s">
        <v>125</v>
      </c>
      <c r="G14" s="10" t="s">
        <v>154</v>
      </c>
      <c r="H14" s="9" t="s">
        <v>192</v>
      </c>
      <c r="I14" s="10" t="s">
        <v>213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34</v>
      </c>
      <c r="E15" s="8" t="s">
        <v>82</v>
      </c>
      <c r="F15" s="7" t="s">
        <v>125</v>
      </c>
      <c r="G15" s="8" t="s">
        <v>155</v>
      </c>
      <c r="H15" s="7" t="s">
        <v>188</v>
      </c>
      <c r="I15" s="8" t="s">
        <v>214</v>
      </c>
      <c r="J15" s="7">
        <v>3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35</v>
      </c>
      <c r="E16" s="10" t="s">
        <v>83</v>
      </c>
      <c r="F16" s="9" t="s">
        <v>121</v>
      </c>
      <c r="G16" s="10" t="s">
        <v>156</v>
      </c>
      <c r="H16" s="9" t="s">
        <v>192</v>
      </c>
      <c r="I16" s="10" t="s">
        <v>215</v>
      </c>
      <c r="J16" s="9">
        <v>6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7</v>
      </c>
      <c r="D17" s="7" t="s">
        <v>36</v>
      </c>
      <c r="E17" s="8" t="s">
        <v>84</v>
      </c>
      <c r="F17" s="7" t="s">
        <v>126</v>
      </c>
      <c r="G17" s="8" t="s">
        <v>157</v>
      </c>
      <c r="H17" s="7" t="s">
        <v>193</v>
      </c>
      <c r="I17" s="8" t="s">
        <v>236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7</v>
      </c>
      <c r="D18" s="9" t="s">
        <v>37</v>
      </c>
      <c r="E18" s="10" t="s">
        <v>85</v>
      </c>
      <c r="F18" s="9" t="s">
        <v>127</v>
      </c>
      <c r="G18" s="10" t="s">
        <v>158</v>
      </c>
      <c r="H18" s="9" t="s">
        <v>7</v>
      </c>
      <c r="I18" s="10" t="s">
        <v>216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7</v>
      </c>
      <c r="D19" s="7" t="s">
        <v>38</v>
      </c>
      <c r="E19" s="8" t="s">
        <v>86</v>
      </c>
      <c r="F19" s="7" t="s">
        <v>128</v>
      </c>
      <c r="G19" s="8" t="s">
        <v>159</v>
      </c>
      <c r="H19" s="7" t="s">
        <v>7</v>
      </c>
      <c r="I19" s="8" t="s">
        <v>236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7</v>
      </c>
      <c r="D20" s="9" t="s">
        <v>39</v>
      </c>
      <c r="E20" s="10" t="s">
        <v>87</v>
      </c>
      <c r="F20" s="9" t="s">
        <v>128</v>
      </c>
      <c r="G20" s="10" t="s">
        <v>160</v>
      </c>
      <c r="H20" s="9" t="s">
        <v>7</v>
      </c>
      <c r="I20" s="8" t="s">
        <v>236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8</v>
      </c>
      <c r="D21" s="7" t="s">
        <v>40</v>
      </c>
      <c r="E21" s="8" t="s">
        <v>88</v>
      </c>
      <c r="F21" s="9" t="s">
        <v>237</v>
      </c>
      <c r="G21" s="8" t="s">
        <v>161</v>
      </c>
      <c r="H21" s="7" t="s">
        <v>194</v>
      </c>
      <c r="I21" s="8" t="s">
        <v>236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9</v>
      </c>
      <c r="D22" s="9" t="s">
        <v>41</v>
      </c>
      <c r="E22" s="10" t="s">
        <v>89</v>
      </c>
      <c r="F22" s="9" t="s">
        <v>129</v>
      </c>
      <c r="G22" s="10" t="s">
        <v>162</v>
      </c>
      <c r="H22" s="9" t="s">
        <v>188</v>
      </c>
      <c r="I22" s="8" t="s">
        <v>236</v>
      </c>
      <c r="J22" s="9">
        <v>4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42</v>
      </c>
      <c r="E23" s="8" t="s">
        <v>90</v>
      </c>
      <c r="F23" s="9" t="s">
        <v>237</v>
      </c>
      <c r="G23" s="8" t="s">
        <v>130</v>
      </c>
      <c r="H23" s="7" t="s">
        <v>194</v>
      </c>
      <c r="I23" s="8" t="s">
        <v>236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11</v>
      </c>
      <c r="D24" s="9" t="s">
        <v>43</v>
      </c>
      <c r="E24" s="10" t="s">
        <v>91</v>
      </c>
      <c r="F24" s="9" t="s">
        <v>237</v>
      </c>
      <c r="G24" s="10" t="s">
        <v>131</v>
      </c>
      <c r="H24" s="9" t="s">
        <v>195</v>
      </c>
      <c r="I24" s="8" t="s">
        <v>236</v>
      </c>
      <c r="J24" s="9">
        <v>1</v>
      </c>
      <c r="K24" s="9"/>
    </row>
    <row r="25" spans="1:11" ht="60.75" thickBot="1" x14ac:dyDescent="0.3">
      <c r="A25" s="1"/>
      <c r="B25" s="11">
        <f>ROW(B25) - ROW($B$2)</f>
        <v>23</v>
      </c>
      <c r="C25" s="12" t="s">
        <v>12</v>
      </c>
      <c r="D25" s="7" t="s">
        <v>44</v>
      </c>
      <c r="E25" s="8" t="s">
        <v>92</v>
      </c>
      <c r="F25" s="9" t="s">
        <v>237</v>
      </c>
      <c r="G25" s="8" t="s">
        <v>132</v>
      </c>
      <c r="H25" s="7" t="s">
        <v>196</v>
      </c>
      <c r="I25" s="8" t="s">
        <v>236</v>
      </c>
      <c r="J25" s="7">
        <v>1</v>
      </c>
      <c r="K25" s="7"/>
    </row>
    <row r="26" spans="1:11" ht="48.75" thickBot="1" x14ac:dyDescent="0.3">
      <c r="A26" s="1"/>
      <c r="B26" s="11">
        <f t="shared" si="0"/>
        <v>24</v>
      </c>
      <c r="C26" s="13" t="s">
        <v>12</v>
      </c>
      <c r="D26" s="9" t="s">
        <v>45</v>
      </c>
      <c r="E26" s="10" t="s">
        <v>93</v>
      </c>
      <c r="F26" s="9" t="s">
        <v>237</v>
      </c>
      <c r="G26" s="10" t="s">
        <v>163</v>
      </c>
      <c r="H26" s="9" t="s">
        <v>197</v>
      </c>
      <c r="I26" s="8" t="s">
        <v>236</v>
      </c>
      <c r="J26" s="9">
        <v>1</v>
      </c>
      <c r="K26" s="9"/>
    </row>
    <row r="27" spans="1:11" ht="24.75" thickBot="1" x14ac:dyDescent="0.3">
      <c r="A27" s="1"/>
      <c r="B27" s="11">
        <f>ROW(B27) - ROW($B$2)</f>
        <v>25</v>
      </c>
      <c r="C27" s="12" t="s">
        <v>13</v>
      </c>
      <c r="D27" s="7" t="s">
        <v>46</v>
      </c>
      <c r="E27" s="8" t="s">
        <v>94</v>
      </c>
      <c r="F27" s="9" t="s">
        <v>237</v>
      </c>
      <c r="G27" s="8" t="s">
        <v>133</v>
      </c>
      <c r="H27" s="7" t="s">
        <v>198</v>
      </c>
      <c r="I27" s="8" t="s">
        <v>217</v>
      </c>
      <c r="J27" s="7">
        <v>6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14</v>
      </c>
      <c r="D28" s="9" t="s">
        <v>47</v>
      </c>
      <c r="E28" s="10" t="s">
        <v>95</v>
      </c>
      <c r="F28" s="9" t="s">
        <v>237</v>
      </c>
      <c r="G28" s="10" t="s">
        <v>134</v>
      </c>
      <c r="H28" s="9" t="s">
        <v>199</v>
      </c>
      <c r="I28" s="10" t="s">
        <v>236</v>
      </c>
      <c r="J28" s="9">
        <v>1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15</v>
      </c>
      <c r="D29" s="7" t="s">
        <v>48</v>
      </c>
      <c r="E29" s="8" t="s">
        <v>96</v>
      </c>
      <c r="F29" s="7" t="s">
        <v>135</v>
      </c>
      <c r="G29" s="8" t="s">
        <v>164</v>
      </c>
      <c r="H29" s="7" t="s">
        <v>200</v>
      </c>
      <c r="I29" s="10" t="s">
        <v>236</v>
      </c>
      <c r="J29" s="7">
        <v>1</v>
      </c>
      <c r="K29" s="7"/>
    </row>
    <row r="30" spans="1:11" ht="26.25" thickBot="1" x14ac:dyDescent="0.3">
      <c r="A30" s="1"/>
      <c r="B30" s="11">
        <f t="shared" si="0"/>
        <v>28</v>
      </c>
      <c r="C30" s="13" t="s">
        <v>16</v>
      </c>
      <c r="D30" s="9" t="s">
        <v>49</v>
      </c>
      <c r="E30" s="10" t="s">
        <v>97</v>
      </c>
      <c r="F30" s="9" t="s">
        <v>237</v>
      </c>
      <c r="G30" s="10" t="s">
        <v>136</v>
      </c>
      <c r="H30" s="9" t="s">
        <v>192</v>
      </c>
      <c r="I30" s="10" t="s">
        <v>218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17</v>
      </c>
      <c r="D31" s="7" t="s">
        <v>50</v>
      </c>
      <c r="E31" s="8" t="s">
        <v>98</v>
      </c>
      <c r="F31" s="7" t="s">
        <v>137</v>
      </c>
      <c r="G31" s="8" t="s">
        <v>165</v>
      </c>
      <c r="H31" s="7" t="s">
        <v>192</v>
      </c>
      <c r="I31" s="8" t="s">
        <v>219</v>
      </c>
      <c r="J31" s="7">
        <v>6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17</v>
      </c>
      <c r="D32" s="9" t="s">
        <v>51</v>
      </c>
      <c r="E32" s="10" t="s">
        <v>99</v>
      </c>
      <c r="F32" s="9" t="s">
        <v>137</v>
      </c>
      <c r="G32" s="10" t="s">
        <v>166</v>
      </c>
      <c r="H32" s="9" t="s">
        <v>192</v>
      </c>
      <c r="I32" s="10" t="s">
        <v>220</v>
      </c>
      <c r="J32" s="9">
        <v>4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17</v>
      </c>
      <c r="D33" s="7" t="s">
        <v>52</v>
      </c>
      <c r="E33" s="8" t="s">
        <v>100</v>
      </c>
      <c r="F33" s="7" t="s">
        <v>138</v>
      </c>
      <c r="G33" s="8" t="s">
        <v>167</v>
      </c>
      <c r="H33" s="7" t="s">
        <v>192</v>
      </c>
      <c r="I33" s="8" t="s">
        <v>221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17</v>
      </c>
      <c r="D34" s="9" t="s">
        <v>53</v>
      </c>
      <c r="E34" s="10" t="s">
        <v>101</v>
      </c>
      <c r="F34" s="9" t="s">
        <v>139</v>
      </c>
      <c r="G34" s="10" t="s">
        <v>168</v>
      </c>
      <c r="H34" s="9" t="s">
        <v>192</v>
      </c>
      <c r="I34" s="10" t="s">
        <v>222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18</v>
      </c>
      <c r="D35" s="7" t="s">
        <v>54</v>
      </c>
      <c r="E35" s="8" t="s">
        <v>102</v>
      </c>
      <c r="F35" s="7" t="s">
        <v>137</v>
      </c>
      <c r="G35" s="8" t="s">
        <v>169</v>
      </c>
      <c r="H35" s="7" t="s">
        <v>192</v>
      </c>
      <c r="I35" s="8" t="s">
        <v>223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18</v>
      </c>
      <c r="D36" s="9" t="s">
        <v>55</v>
      </c>
      <c r="E36" s="10" t="s">
        <v>103</v>
      </c>
      <c r="F36" s="9" t="s">
        <v>140</v>
      </c>
      <c r="G36" s="10" t="s">
        <v>170</v>
      </c>
      <c r="H36" s="9" t="s">
        <v>192</v>
      </c>
      <c r="I36" s="10" t="s">
        <v>224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18</v>
      </c>
      <c r="D37" s="7" t="s">
        <v>56</v>
      </c>
      <c r="E37" s="8" t="s">
        <v>104</v>
      </c>
      <c r="F37" s="7" t="s">
        <v>141</v>
      </c>
      <c r="G37" s="8" t="s">
        <v>171</v>
      </c>
      <c r="H37" s="7" t="s">
        <v>192</v>
      </c>
      <c r="I37" s="8" t="s">
        <v>225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17</v>
      </c>
      <c r="D38" s="9" t="s">
        <v>57</v>
      </c>
      <c r="E38" s="10" t="s">
        <v>105</v>
      </c>
      <c r="F38" s="9" t="s">
        <v>140</v>
      </c>
      <c r="G38" s="10" t="s">
        <v>172</v>
      </c>
      <c r="H38" s="9" t="s">
        <v>192</v>
      </c>
      <c r="I38" s="10" t="s">
        <v>226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17</v>
      </c>
      <c r="D39" s="7" t="s">
        <v>58</v>
      </c>
      <c r="E39" s="8" t="s">
        <v>106</v>
      </c>
      <c r="F39" s="7" t="s">
        <v>140</v>
      </c>
      <c r="G39" s="8" t="s">
        <v>173</v>
      </c>
      <c r="H39" s="7" t="s">
        <v>192</v>
      </c>
      <c r="I39" s="8" t="s">
        <v>227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18</v>
      </c>
      <c r="D40" s="9" t="s">
        <v>59</v>
      </c>
      <c r="E40" s="10" t="s">
        <v>107</v>
      </c>
      <c r="F40" s="9" t="s">
        <v>140</v>
      </c>
      <c r="G40" s="10" t="s">
        <v>174</v>
      </c>
      <c r="H40" s="9" t="s">
        <v>192</v>
      </c>
      <c r="I40" s="10" t="s">
        <v>228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17</v>
      </c>
      <c r="D41" s="7" t="s">
        <v>60</v>
      </c>
      <c r="E41" s="8" t="s">
        <v>108</v>
      </c>
      <c r="F41" s="7" t="s">
        <v>140</v>
      </c>
      <c r="G41" s="8" t="s">
        <v>175</v>
      </c>
      <c r="H41" s="7" t="s">
        <v>192</v>
      </c>
      <c r="I41" s="8" t="s">
        <v>229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17</v>
      </c>
      <c r="D42" s="9" t="s">
        <v>61</v>
      </c>
      <c r="E42" s="10" t="s">
        <v>109</v>
      </c>
      <c r="F42" s="9" t="s">
        <v>137</v>
      </c>
      <c r="G42" s="10" t="s">
        <v>176</v>
      </c>
      <c r="H42" s="9" t="s">
        <v>192</v>
      </c>
      <c r="I42" s="10" t="s">
        <v>230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17</v>
      </c>
      <c r="D43" s="7" t="s">
        <v>62</v>
      </c>
      <c r="E43" s="8" t="s">
        <v>110</v>
      </c>
      <c r="F43" s="7" t="s">
        <v>140</v>
      </c>
      <c r="G43" s="8" t="s">
        <v>177</v>
      </c>
      <c r="H43" s="7" t="s">
        <v>192</v>
      </c>
      <c r="I43" s="8" t="s">
        <v>231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17</v>
      </c>
      <c r="D44" s="9" t="s">
        <v>63</v>
      </c>
      <c r="E44" s="10" t="s">
        <v>111</v>
      </c>
      <c r="F44" s="9" t="s">
        <v>139</v>
      </c>
      <c r="G44" s="10" t="s">
        <v>178</v>
      </c>
      <c r="H44" s="9" t="s">
        <v>201</v>
      </c>
      <c r="I44" s="10" t="s">
        <v>232</v>
      </c>
      <c r="J44" s="9">
        <v>12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18</v>
      </c>
      <c r="D45" s="7" t="s">
        <v>64</v>
      </c>
      <c r="E45" s="8" t="s">
        <v>112</v>
      </c>
      <c r="F45" s="7" t="s">
        <v>139</v>
      </c>
      <c r="G45" s="8" t="s">
        <v>179</v>
      </c>
      <c r="H45" s="7" t="s">
        <v>192</v>
      </c>
      <c r="I45" s="8" t="s">
        <v>228</v>
      </c>
      <c r="J45" s="7">
        <v>6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19</v>
      </c>
      <c r="D46" s="9" t="s">
        <v>65</v>
      </c>
      <c r="E46" s="10" t="s">
        <v>113</v>
      </c>
      <c r="F46" s="9" t="s">
        <v>237</v>
      </c>
      <c r="G46" s="10" t="s">
        <v>142</v>
      </c>
      <c r="H46" s="9" t="s">
        <v>192</v>
      </c>
      <c r="I46" s="10" t="s">
        <v>236</v>
      </c>
      <c r="J46" s="9">
        <v>3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20</v>
      </c>
      <c r="D47" s="7" t="s">
        <v>66</v>
      </c>
      <c r="E47" s="8" t="s">
        <v>114</v>
      </c>
      <c r="F47" s="7" t="s">
        <v>143</v>
      </c>
      <c r="G47" s="8" t="s">
        <v>180</v>
      </c>
      <c r="H47" s="7" t="s">
        <v>202</v>
      </c>
      <c r="I47" s="10" t="s">
        <v>236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20</v>
      </c>
      <c r="D48" s="9" t="s">
        <v>67</v>
      </c>
      <c r="E48" s="10" t="s">
        <v>115</v>
      </c>
      <c r="F48" s="9" t="s">
        <v>144</v>
      </c>
      <c r="G48" s="10" t="s">
        <v>181</v>
      </c>
      <c r="H48" s="9" t="s">
        <v>193</v>
      </c>
      <c r="I48" s="10" t="s">
        <v>236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20</v>
      </c>
      <c r="D49" s="7" t="s">
        <v>68</v>
      </c>
      <c r="E49" s="8" t="s">
        <v>116</v>
      </c>
      <c r="F49" s="7" t="s">
        <v>145</v>
      </c>
      <c r="G49" s="8" t="s">
        <v>182</v>
      </c>
      <c r="H49" s="7" t="s">
        <v>203</v>
      </c>
      <c r="I49" s="10" t="s">
        <v>236</v>
      </c>
      <c r="J49" s="7">
        <v>1</v>
      </c>
      <c r="K49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2025-02-27T07:47:07Z</dcterms:modified>
</cp:coreProperties>
</file>