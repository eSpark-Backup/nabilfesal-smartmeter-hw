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CIM_v1.5\BOM\"/>
    </mc:Choice>
  </mc:AlternateContent>
  <bookViews>
    <workbookView xWindow="28680" yWindow="-120" windowWidth="29040" windowHeight="15840"/>
  </bookViews>
  <sheets>
    <sheet name="10 Boards" sheetId="1" r:id="rId1"/>
    <sheet name="1000 Boards" sheetId="2" r:id="rId2"/>
  </sheets>
  <calcPr calcId="162913"/>
</workbook>
</file>

<file path=xl/calcChain.xml><?xml version="1.0" encoding="utf-8"?>
<calcChain xmlns="http://schemas.openxmlformats.org/spreadsheetml/2006/main">
  <c r="M9" i="2" l="1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8" i="2"/>
  <c r="Q8" i="2"/>
  <c r="B9" i="2"/>
  <c r="Q9" i="2"/>
  <c r="B10" i="2"/>
  <c r="Q10" i="2"/>
  <c r="B11" i="2"/>
  <c r="Q11" i="2"/>
  <c r="B12" i="2"/>
  <c r="Q12" i="2"/>
  <c r="B13" i="2"/>
  <c r="Q13" i="2"/>
  <c r="B14" i="2"/>
  <c r="Q14" i="2"/>
  <c r="B15" i="2"/>
  <c r="Q15" i="2"/>
  <c r="B16" i="2"/>
  <c r="Q16" i="2"/>
  <c r="B17" i="2"/>
  <c r="Q17" i="2"/>
  <c r="B18" i="2"/>
  <c r="Q18" i="2"/>
  <c r="B19" i="2"/>
  <c r="Q19" i="2"/>
  <c r="B20" i="2"/>
  <c r="Q20" i="2"/>
  <c r="B21" i="2"/>
  <c r="Q21" i="2"/>
  <c r="B22" i="2"/>
  <c r="Q22" i="2"/>
  <c r="B23" i="2"/>
  <c r="Q23" i="2"/>
  <c r="B8" i="2"/>
  <c r="Q24" i="1"/>
  <c r="Q25" i="1" s="1"/>
  <c r="Q24" i="2" l="1"/>
  <c r="Q25" i="2" s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8" i="1"/>
  <c r="Q23" i="1" l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Q10" i="1"/>
  <c r="B10" i="1"/>
  <c r="Q9" i="1" l="1"/>
  <c r="Q8" i="1"/>
  <c r="B9" i="1"/>
  <c r="B8" i="1"/>
</calcChain>
</file>

<file path=xl/sharedStrings.xml><?xml version="1.0" encoding="utf-8"?>
<sst xmlns="http://schemas.openxmlformats.org/spreadsheetml/2006/main" count="394" uniqueCount="155">
  <si>
    <t>Component list</t>
  </si>
  <si>
    <t>Project:</t>
  </si>
  <si>
    <t>#</t>
  </si>
  <si>
    <t xml:space="preserve">Total Component Cost </t>
  </si>
  <si>
    <t>Single Board Cost</t>
  </si>
  <si>
    <t>Item Type</t>
  </si>
  <si>
    <t>Capacitors</t>
  </si>
  <si>
    <t>Capacitor</t>
  </si>
  <si>
    <t>Diodes</t>
  </si>
  <si>
    <t>Terminal Block</t>
  </si>
  <si>
    <t>Connectors</t>
  </si>
  <si>
    <t>LED</t>
  </si>
  <si>
    <t>Resistor</t>
  </si>
  <si>
    <t>Resistors</t>
  </si>
  <si>
    <t>IC</t>
  </si>
  <si>
    <t>Crystal</t>
  </si>
  <si>
    <t>Designator</t>
  </si>
  <si>
    <t>C1, C2, C3, C4, C5, C6, C7, C8, C11, C12, C13, C14, C28, C29, C30, C31, C32, C33, C34, C35, C38, C39, C40, C41, C55, C56, C57, C58, C59, C60, C61, C62, C65, C66, C67, C68</t>
  </si>
  <si>
    <t>C9, C10, C36, C37, C63, C64</t>
  </si>
  <si>
    <t>C15, C20, C22, C24, C26, C42, C47, C49, C51, C53, C69, C74, C76, C78, C80, C82</t>
  </si>
  <si>
    <t>C21, C23, C25, C27, C48, C50, C52, C54, C75, C77, C79, C81, C83</t>
  </si>
  <si>
    <t>D1, D2, D3, D4, D5, D6, D9, D10, D11, D12, D13, D14, D17, D18, D19, D20, D21, D22</t>
  </si>
  <si>
    <t>J1</t>
  </si>
  <si>
    <t>J2</t>
  </si>
  <si>
    <t>J3, J4, J5</t>
  </si>
  <si>
    <t>LED1, LED2, LED3, LED4, LED5, LED6, LED7, LED8, LED9, LED10, LED11, LED12</t>
  </si>
  <si>
    <t>R1, R5, R7, R8, R9, R13, R15, R19, R25, R27, R34, R38, R40, R41, R42, R46, R48, R52, R58, R60, R67, R71, R73, R74, R75, R79, R81, R85, R91, R93</t>
  </si>
  <si>
    <t>R2, R6, R10, R14, R16, R20, R35, R39, R43, R47, R49, R53, R68, R72, R76, R80, R82, R86</t>
  </si>
  <si>
    <t>R3, R4, R11, R12, R17, R18, R36, R37, R44, R45, R50, R51, R69, R70, R77, R78, R83, R84</t>
  </si>
  <si>
    <t>R21, R54, R87</t>
  </si>
  <si>
    <t>R30, R31, R32, R33, R63, R64, R65, R66, R96, R97, R98, R99</t>
  </si>
  <si>
    <t>U1, U2, U3</t>
  </si>
  <si>
    <t>X1, X2, X3</t>
  </si>
  <si>
    <t>Description</t>
  </si>
  <si>
    <t>CAP CER 0.022UF 50V C0G/NP0 0805</t>
  </si>
  <si>
    <t>CAP CER 15PF 50V C0G/NPO 0603</t>
  </si>
  <si>
    <t>CAP CER 0.1UF 50V X7R 0603</t>
  </si>
  <si>
    <t>CAP CER 4.7UF 10V X7R 0603</t>
  </si>
  <si>
    <t>DIODE ARR GP 100V 215MA TO-236AB</t>
  </si>
  <si>
    <t>450V 17.5A 18 Bend -40℃~+105℃ 1 5.08mm 1x18P Green Board end/socket - Open type Push-Pull,P=5.08mm Pluggable System Terminal Block ROHS</t>
  </si>
  <si>
    <t>CONN HDR 24POS 0.1 GOLD PCB R/A</t>
  </si>
  <si>
    <t>450V 17.5A 6 -40℃~+105℃ 1.5 1 14~28 5.08mm 1x6P Green Plug P=5.08mm Pluggable System Terminal Block ROHS</t>
  </si>
  <si>
    <t>Emerald 0603 Light Emitting Diodes (LED) ROHS</t>
  </si>
  <si>
    <t>RES SMD 0R, 1%, 0.1W, 0603</t>
  </si>
  <si>
    <t>RES SMD 1K OHM 1% 1/10W 0603</t>
  </si>
  <si>
    <t>RES 0.002 OHM 1% 3W 2512</t>
  </si>
  <si>
    <t>RES SMD 10K Ohm 1% 1/10W 0603</t>
  </si>
  <si>
    <t>RES SMD 680 OHM 1% 1/10W 0603</t>
  </si>
  <si>
    <t>IC AFE 7 CHAN 40LFCSP-WQ</t>
  </si>
  <si>
    <t>24.576MHz Surface Mount Crystal 12pF ±10ppm ±20ppm SMD3225-4P Crystals ROHS</t>
  </si>
  <si>
    <t>Footprint</t>
  </si>
  <si>
    <t>Cap-0805</t>
  </si>
  <si>
    <t>Cap-0603</t>
  </si>
  <si>
    <t>SOT-23</t>
  </si>
  <si>
    <t>DB2ER-5.08-18P-GN</t>
  </si>
  <si>
    <t>SFH11-PBPC-D12-RA-BK</t>
  </si>
  <si>
    <t>LED-0603</t>
  </si>
  <si>
    <t>Res-0603</t>
  </si>
  <si>
    <t>RES-2512</t>
  </si>
  <si>
    <t>40-LFCSP-WQ (6x6)</t>
  </si>
  <si>
    <t>SMD3225-4P</t>
  </si>
  <si>
    <t>Manufacturer Part Number</t>
  </si>
  <si>
    <t>GRM21B5C1H223JA01L</t>
  </si>
  <si>
    <t>CC0603JRNPO9BN150</t>
  </si>
  <si>
    <t>GCJ188R71H104KA12D</t>
  </si>
  <si>
    <t>GRM188Z71A475KE15D</t>
  </si>
  <si>
    <t>BAV99,215</t>
  </si>
  <si>
    <t>DB2EK-5.08-6P-GN-S</t>
  </si>
  <si>
    <t>NCD0603G2</t>
  </si>
  <si>
    <t>RC0603FR-070RL</t>
  </si>
  <si>
    <t>RC0603FR-071KL</t>
  </si>
  <si>
    <t>PA2512FKE7T0R002E</t>
  </si>
  <si>
    <t>RC0603FR-0710KL</t>
  </si>
  <si>
    <t>RC0603FR-07680RL</t>
  </si>
  <si>
    <t>ADE9000ACPZ</t>
  </si>
  <si>
    <t>X322524576MOB4SI</t>
  </si>
  <si>
    <t>Manufacturer</t>
  </si>
  <si>
    <t>Murata</t>
  </si>
  <si>
    <t>Yageo</t>
  </si>
  <si>
    <t>Nexperia</t>
  </si>
  <si>
    <t>DIBO</t>
  </si>
  <si>
    <t>Sullins</t>
  </si>
  <si>
    <t>Foshan NationStar Optoelectronics</t>
  </si>
  <si>
    <t>Analog Devices</t>
  </si>
  <si>
    <t>YXC</t>
  </si>
  <si>
    <t>LCSC Part Number</t>
  </si>
  <si>
    <t>C77069</t>
  </si>
  <si>
    <t>C107037</t>
  </si>
  <si>
    <t>C161115</t>
  </si>
  <si>
    <t>C913474</t>
  </si>
  <si>
    <t>C2500</t>
  </si>
  <si>
    <t>C430511</t>
  </si>
  <si>
    <t>C395774</t>
  </si>
  <si>
    <t>C87326</t>
  </si>
  <si>
    <t>C100044</t>
  </si>
  <si>
    <t>C22548</t>
  </si>
  <si>
    <t>C98220</t>
  </si>
  <si>
    <t>C112310</t>
  </si>
  <si>
    <t>C70568</t>
  </si>
  <si>
    <t>22nF</t>
  </si>
  <si>
    <t>15pF</t>
  </si>
  <si>
    <t>0.1uF</t>
  </si>
  <si>
    <t>4.7uF</t>
  </si>
  <si>
    <t>0R</t>
  </si>
  <si>
    <t>1K</t>
  </si>
  <si>
    <t>2mR</t>
  </si>
  <si>
    <t>10K</t>
  </si>
  <si>
    <t>680R</t>
  </si>
  <si>
    <t>24.576MHz</t>
  </si>
  <si>
    <t>Quantity</t>
  </si>
  <si>
    <t>Bill of Materials for Project [OFP_CIM_v1.5</t>
  </si>
  <si>
    <t>OFP_CIM_v1.5</t>
  </si>
  <si>
    <t>Alternate Part Number</t>
  </si>
  <si>
    <t>Value</t>
  </si>
  <si>
    <t>Links</t>
  </si>
  <si>
    <t>Remarks</t>
  </si>
  <si>
    <t>Quantity (10 Boards)</t>
  </si>
  <si>
    <t>MOQ (10 Boards)</t>
  </si>
  <si>
    <t>Unit Cost (10 Boards)</t>
  </si>
  <si>
    <t>Total Cost (10 Boards)</t>
  </si>
  <si>
    <t>C654559</t>
  </si>
  <si>
    <t>-</t>
  </si>
  <si>
    <t>Custom</t>
  </si>
  <si>
    <t>This Part Use As Peripheral</t>
  </si>
  <si>
    <t>0.0292</t>
  </si>
  <si>
    <t>0.0024</t>
  </si>
  <si>
    <t>0.0248</t>
  </si>
  <si>
    <t>0.0330</t>
  </si>
  <si>
    <t>0.0078</t>
  </si>
  <si>
    <t>0.5042</t>
  </si>
  <si>
    <t>0.3834</t>
  </si>
  <si>
    <t>0.0235</t>
  </si>
  <si>
    <t>0.0011</t>
  </si>
  <si>
    <t>0.0012</t>
  </si>
  <si>
    <t>0.0784</t>
  </si>
  <si>
    <t>LCSC</t>
  </si>
  <si>
    <t>C2994640</t>
  </si>
  <si>
    <t>HoLLR2512-3W-2mR-1%</t>
  </si>
  <si>
    <t>Chipsmall</t>
  </si>
  <si>
    <t>Quantity (1000 Boards)</t>
  </si>
  <si>
    <t>MOQ (1000 Boards)</t>
  </si>
  <si>
    <t>Unit Cost (1000 Boards)</t>
  </si>
  <si>
    <t>Total Cost (1000 Boards)</t>
  </si>
  <si>
    <t>0.0228</t>
  </si>
  <si>
    <t>0.0015</t>
  </si>
  <si>
    <t>0.0159</t>
  </si>
  <si>
    <t>0.0220</t>
  </si>
  <si>
    <t>0.0045</t>
  </si>
  <si>
    <t>0.3223</t>
  </si>
  <si>
    <t>0.2768</t>
  </si>
  <si>
    <t>0.0115</t>
  </si>
  <si>
    <t>0.0006</t>
  </si>
  <si>
    <t>0.0008</t>
  </si>
  <si>
    <t>0.0007</t>
  </si>
  <si>
    <t>0.0414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</si>
</sst>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>
      <alignment vertical="center"/>
    </xf>
  </cellStyleXfs>
  <cellXfs count="5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9" fillId="2" borderId="8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165" fontId="19" fillId="2" borderId="8" xfId="0" applyNumberFormat="1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ed-indication-discrete_foshan-nationstar-optoelectronics-ncd0603g2_C87326.html" TargetMode="External"/><Relationship Id="rId13" Type="http://schemas.openxmlformats.org/officeDocument/2006/relationships/hyperlink" Target="https://www.lcsc.com/product-detail/crystals_yxc-crystal-oscillators-x322524576mob4si_C70568.html" TargetMode="External"/><Relationship Id="rId3" Type="http://schemas.openxmlformats.org/officeDocument/2006/relationships/hyperlink" Target="https://www.lcsc.com/product-detail/multilayer-ceramic-capacitors-mlcc-smd-smt_murata-electronics-gcj188r71h104ka12d_C161115.html" TargetMode="External"/><Relationship Id="rId7" Type="http://schemas.openxmlformats.org/officeDocument/2006/relationships/hyperlink" Target="https://www.lcsc.com/product-detail/pluggable-system-terminal-block_dorabo-db2ek-5-08-6p-gn-s_C395774.html" TargetMode="External"/><Relationship Id="rId12" Type="http://schemas.openxmlformats.org/officeDocument/2006/relationships/hyperlink" Target="https://www.lcsc.com/product-detail/chip-resistor-surface-mount_yageo-rc0603fr-07680rl_C112310.htm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yageo-cc0603jrnpo9bn150_C107037.html" TargetMode="External"/><Relationship Id="rId16" Type="http://schemas.openxmlformats.org/officeDocument/2006/relationships/hyperlink" Target="https://www.chipsmall.com/Products/SFH11-PBPC-D12-RA-BK_12482478.html" TargetMode="External"/><Relationship Id="rId1" Type="http://schemas.openxmlformats.org/officeDocument/2006/relationships/hyperlink" Target="https://www.lcsc.com/product-detail/multilayer-ceramic-capacitors-mlcc-smd-smt_murata-electronics-grm21b5c1h223ja01l_C77069.html" TargetMode="External"/><Relationship Id="rId6" Type="http://schemas.openxmlformats.org/officeDocument/2006/relationships/hyperlink" Target="https://www.lcsc.com/product-detail/pluggable-system-terminal-block_dorabo-db2er-5-08-18p-gn_C430511.html" TargetMode="External"/><Relationship Id="rId11" Type="http://schemas.openxmlformats.org/officeDocument/2006/relationships/hyperlink" Target="https://www.lcsc.com/product-detail/chip-resistor-surface-mount_yageo-rc0603fr-0710kl_C98220.html" TargetMode="External"/><Relationship Id="rId5" Type="http://schemas.openxmlformats.org/officeDocument/2006/relationships/hyperlink" Target="https://www.lcsc.com/product-detail/switching-diodes_nexperia-bav99-215_C2500.html" TargetMode="External"/><Relationship Id="rId15" Type="http://schemas.openxmlformats.org/officeDocument/2006/relationships/hyperlink" Target="https://www.chipsmall.com/Products/ADE9000ACPZ_12336253.html" TargetMode="External"/><Relationship Id="rId10" Type="http://schemas.openxmlformats.org/officeDocument/2006/relationships/hyperlink" Target="https://www.lcsc.com/product-detail/chip-resistor-surface-mount_yageo-rc0603fr-071kl_C22548.html" TargetMode="External"/><Relationship Id="rId4" Type="http://schemas.openxmlformats.org/officeDocument/2006/relationships/hyperlink" Target="https://www.lcsc.com/product-detail/multilayer-ceramic-capacitors-mlcc-smd-smt_murata-electronics-grm188z71a475ke15d_C913474.html" TargetMode="External"/><Relationship Id="rId9" Type="http://schemas.openxmlformats.org/officeDocument/2006/relationships/hyperlink" Target="https://www.lcsc.com/product-detail/chip-resistor-surface-mount_yageo-rc0603fr-070rl_C100044.html" TargetMode="External"/><Relationship Id="rId14" Type="http://schemas.openxmlformats.org/officeDocument/2006/relationships/hyperlink" Target="https://www.lcsc.com/product-detail/Current-Sense-Resistors-Shunt-Resistors_Milliohm-HoLLR2512-3W-2mR-1_C2994640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hip-resistor-surface-mount_yageo-rc0603fr-070rl_C100044.html" TargetMode="External"/><Relationship Id="rId13" Type="http://schemas.openxmlformats.org/officeDocument/2006/relationships/hyperlink" Target="https://www.lcsc.com/product-detail/multilayer-ceramic-capacitors-mlcc-smd-smt_murata-electronics-grm188z71a475ke15d_C913474.html" TargetMode="External"/><Relationship Id="rId3" Type="http://schemas.openxmlformats.org/officeDocument/2006/relationships/hyperlink" Target="https://www.lcsc.com/product-detail/Current-Sense-Resistors-Shunt-Resistors_Milliohm-HoLLR2512-3W-2mR-1_C2994640.html" TargetMode="External"/><Relationship Id="rId7" Type="http://schemas.openxmlformats.org/officeDocument/2006/relationships/hyperlink" Target="https://www.lcsc.com/product-detail/chip-resistor-surface-mount_yageo-rc0603fr-071kl_C22548.html" TargetMode="External"/><Relationship Id="rId12" Type="http://schemas.openxmlformats.org/officeDocument/2006/relationships/hyperlink" Target="https://www.lcsc.com/product-detail/switching-diodes_nexperia-bav99-215_C2500.html" TargetMode="External"/><Relationship Id="rId2" Type="http://schemas.openxmlformats.org/officeDocument/2006/relationships/hyperlink" Target="https://www.chipsmall.com/Products/ADE9000ACPZ_12336253.html" TargetMode="External"/><Relationship Id="rId16" Type="http://schemas.openxmlformats.org/officeDocument/2006/relationships/hyperlink" Target="https://www.lcsc.com/product-detail/multilayer-ceramic-capacitors-mlcc-smd-smt_murata-electronics-grm21b5c1h223ja01l_C77069.html" TargetMode="External"/><Relationship Id="rId1" Type="http://schemas.openxmlformats.org/officeDocument/2006/relationships/hyperlink" Target="https://www.chipsmall.com/Products/SFH11-PBPC-D12-RA-BK_12482478.html" TargetMode="External"/><Relationship Id="rId6" Type="http://schemas.openxmlformats.org/officeDocument/2006/relationships/hyperlink" Target="https://www.lcsc.com/product-detail/chip-resistor-surface-mount_yageo-rc0603fr-0710kl_C98220.html" TargetMode="External"/><Relationship Id="rId11" Type="http://schemas.openxmlformats.org/officeDocument/2006/relationships/hyperlink" Target="https://www.lcsc.com/product-detail/pluggable-system-terminal-block_dorabo-db2er-5-08-18p-gn_C430511.html" TargetMode="External"/><Relationship Id="rId5" Type="http://schemas.openxmlformats.org/officeDocument/2006/relationships/hyperlink" Target="https://www.lcsc.com/product-detail/chip-resistor-surface-mount_yageo-rc0603fr-07680rl_C112310.html" TargetMode="External"/><Relationship Id="rId15" Type="http://schemas.openxmlformats.org/officeDocument/2006/relationships/hyperlink" Target="https://www.lcsc.com/product-detail/multilayer-ceramic-capacitors-mlcc-smd-smt_yageo-cc0603jrnpo9bn150_C107037.html" TargetMode="External"/><Relationship Id="rId10" Type="http://schemas.openxmlformats.org/officeDocument/2006/relationships/hyperlink" Target="https://www.lcsc.com/product-detail/pluggable-system-terminal-block_dorabo-db2ek-5-08-6p-gn-s_C395774.html" TargetMode="External"/><Relationship Id="rId4" Type="http://schemas.openxmlformats.org/officeDocument/2006/relationships/hyperlink" Target="https://www.lcsc.com/product-detail/crystals_yxc-crystal-oscillators-x322524576mob4si_C70568.html" TargetMode="External"/><Relationship Id="rId9" Type="http://schemas.openxmlformats.org/officeDocument/2006/relationships/hyperlink" Target="https://www.lcsc.com/product-detail/led-indication-discrete_foshan-nationstar-optoelectronics-ncd0603g2_C87326.html" TargetMode="External"/><Relationship Id="rId14" Type="http://schemas.openxmlformats.org/officeDocument/2006/relationships/hyperlink" Target="https://www.lcsc.com/product-detail/multilayer-ceramic-capacitors-mlcc-smd-smt_murata-electronics-gcj188r71h104ka12d_C1611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37"/>
  <sheetViews>
    <sheetView tabSelected="1" topLeftCell="E1" workbookViewId="0">
      <selection activeCell="H15" sqref="H15"/>
    </sheetView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0.28515625" customWidth="1"/>
    <col min="16" max="16" width="19.7109375" bestFit="1" customWidth="1"/>
    <col min="17" max="17" width="20.28515625" bestFit="1" customWidth="1"/>
    <col min="18" max="18" width="10.42578125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>
      <c r="A2" s="1"/>
      <c r="B2" s="7"/>
      <c r="C2" s="13"/>
      <c r="D2" s="4" t="s">
        <v>0</v>
      </c>
      <c r="E2" s="4"/>
      <c r="F2" s="40" t="s">
        <v>110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111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16</v>
      </c>
      <c r="E7" s="12" t="s">
        <v>33</v>
      </c>
      <c r="F7" s="12" t="s">
        <v>50</v>
      </c>
      <c r="G7" s="12" t="s">
        <v>61</v>
      </c>
      <c r="H7" s="12" t="s">
        <v>76</v>
      </c>
      <c r="I7" s="12" t="s">
        <v>112</v>
      </c>
      <c r="J7" s="12" t="s">
        <v>85</v>
      </c>
      <c r="K7" s="12" t="s">
        <v>113</v>
      </c>
      <c r="L7" s="12" t="s">
        <v>109</v>
      </c>
      <c r="M7" s="12" t="s">
        <v>116</v>
      </c>
      <c r="N7" s="12" t="s">
        <v>117</v>
      </c>
      <c r="O7" s="12" t="s">
        <v>114</v>
      </c>
      <c r="P7" s="12" t="s">
        <v>118</v>
      </c>
      <c r="Q7" s="12" t="s">
        <v>119</v>
      </c>
      <c r="R7" s="12" t="s">
        <v>115</v>
      </c>
    </row>
    <row r="8" spans="1:18" ht="60">
      <c r="A8" s="1"/>
      <c r="B8" s="16">
        <f>ROW(B8) - ROW($B$7)</f>
        <v>1</v>
      </c>
      <c r="C8" s="22" t="s">
        <v>6</v>
      </c>
      <c r="D8" s="14" t="s">
        <v>17</v>
      </c>
      <c r="E8" s="14" t="s">
        <v>34</v>
      </c>
      <c r="F8" s="14" t="s">
        <v>51</v>
      </c>
      <c r="G8" s="14" t="s">
        <v>62</v>
      </c>
      <c r="H8" s="14" t="s">
        <v>77</v>
      </c>
      <c r="I8" s="14" t="s">
        <v>121</v>
      </c>
      <c r="J8" s="14" t="s">
        <v>86</v>
      </c>
      <c r="K8" s="14" t="s">
        <v>99</v>
      </c>
      <c r="L8" s="14">
        <v>36</v>
      </c>
      <c r="M8" s="14">
        <f>L8*10</f>
        <v>360</v>
      </c>
      <c r="N8" s="14">
        <v>370</v>
      </c>
      <c r="O8" s="49" t="s">
        <v>135</v>
      </c>
      <c r="P8" s="15" t="s">
        <v>124</v>
      </c>
      <c r="Q8" s="15">
        <f>P8*N8</f>
        <v>10.804</v>
      </c>
      <c r="R8" s="14"/>
    </row>
    <row r="9" spans="1:18">
      <c r="A9" s="1"/>
      <c r="B9" s="17">
        <f t="shared" ref="B9:B23" si="0">ROW(B9) - ROW($B$7)</f>
        <v>2</v>
      </c>
      <c r="C9" s="23" t="s">
        <v>7</v>
      </c>
      <c r="D9" s="20" t="s">
        <v>18</v>
      </c>
      <c r="E9" s="20" t="s">
        <v>35</v>
      </c>
      <c r="F9" s="20" t="s">
        <v>52</v>
      </c>
      <c r="G9" s="20" t="s">
        <v>63</v>
      </c>
      <c r="H9" s="20" t="s">
        <v>78</v>
      </c>
      <c r="I9" s="14" t="s">
        <v>121</v>
      </c>
      <c r="J9" s="20" t="s">
        <v>87</v>
      </c>
      <c r="K9" s="20" t="s">
        <v>100</v>
      </c>
      <c r="L9" s="20">
        <v>6</v>
      </c>
      <c r="M9" s="14">
        <f t="shared" ref="M9:M23" si="1">L9*10</f>
        <v>60</v>
      </c>
      <c r="N9" s="20">
        <v>100</v>
      </c>
      <c r="O9" s="49" t="s">
        <v>135</v>
      </c>
      <c r="P9" s="21" t="s">
        <v>125</v>
      </c>
      <c r="Q9" s="21">
        <f t="shared" ref="Q9" si="2">P9*N9</f>
        <v>0.24</v>
      </c>
      <c r="R9" s="20"/>
    </row>
    <row r="10" spans="1:18" ht="36">
      <c r="A10" s="1"/>
      <c r="B10" s="16">
        <f>ROW(B10) - ROW($B$7)</f>
        <v>3</v>
      </c>
      <c r="C10" s="22" t="s">
        <v>6</v>
      </c>
      <c r="D10" s="14" t="s">
        <v>19</v>
      </c>
      <c r="E10" s="14" t="s">
        <v>36</v>
      </c>
      <c r="F10" s="14" t="s">
        <v>52</v>
      </c>
      <c r="G10" s="14" t="s">
        <v>64</v>
      </c>
      <c r="H10" s="14" t="s">
        <v>77</v>
      </c>
      <c r="I10" s="14" t="s">
        <v>121</v>
      </c>
      <c r="J10" s="14" t="s">
        <v>88</v>
      </c>
      <c r="K10" s="14" t="s">
        <v>101</v>
      </c>
      <c r="L10" s="14">
        <v>16</v>
      </c>
      <c r="M10" s="14">
        <f t="shared" si="1"/>
        <v>160</v>
      </c>
      <c r="N10" s="14">
        <v>200</v>
      </c>
      <c r="O10" s="49" t="s">
        <v>135</v>
      </c>
      <c r="P10" s="15" t="s">
        <v>126</v>
      </c>
      <c r="Q10" s="15">
        <f>P10*N10</f>
        <v>4.96</v>
      </c>
      <c r="R10" s="14"/>
    </row>
    <row r="11" spans="1:18" ht="24">
      <c r="A11" s="1"/>
      <c r="B11" s="17">
        <f t="shared" si="0"/>
        <v>4</v>
      </c>
      <c r="C11" s="23" t="s">
        <v>6</v>
      </c>
      <c r="D11" s="20" t="s">
        <v>20</v>
      </c>
      <c r="E11" s="20" t="s">
        <v>37</v>
      </c>
      <c r="F11" s="20" t="s">
        <v>52</v>
      </c>
      <c r="G11" s="20" t="s">
        <v>65</v>
      </c>
      <c r="H11" s="20" t="s">
        <v>77</v>
      </c>
      <c r="I11" s="14" t="s">
        <v>121</v>
      </c>
      <c r="J11" s="20" t="s">
        <v>89</v>
      </c>
      <c r="K11" s="20" t="s">
        <v>102</v>
      </c>
      <c r="L11" s="20">
        <v>13</v>
      </c>
      <c r="M11" s="14">
        <f t="shared" si="1"/>
        <v>130</v>
      </c>
      <c r="N11" s="20">
        <v>140</v>
      </c>
      <c r="O11" s="49" t="s">
        <v>135</v>
      </c>
      <c r="P11" s="21" t="s">
        <v>127</v>
      </c>
      <c r="Q11" s="21">
        <f t="shared" ref="Q11" si="3">P11*N11</f>
        <v>4.62</v>
      </c>
      <c r="R11" s="20"/>
    </row>
    <row r="12" spans="1:18" ht="36">
      <c r="A12" s="1"/>
      <c r="B12" s="16">
        <f>ROW(B12) - ROW($B$7)</f>
        <v>5</v>
      </c>
      <c r="C12" s="22" t="s">
        <v>8</v>
      </c>
      <c r="D12" s="14" t="s">
        <v>21</v>
      </c>
      <c r="E12" s="14" t="s">
        <v>38</v>
      </c>
      <c r="F12" s="14" t="s">
        <v>53</v>
      </c>
      <c r="G12" s="14" t="s">
        <v>66</v>
      </c>
      <c r="H12" s="14" t="s">
        <v>79</v>
      </c>
      <c r="I12" s="14" t="s">
        <v>121</v>
      </c>
      <c r="J12" s="14" t="s">
        <v>90</v>
      </c>
      <c r="K12" s="14" t="s">
        <v>121</v>
      </c>
      <c r="L12" s="14">
        <v>18</v>
      </c>
      <c r="M12" s="14">
        <f t="shared" si="1"/>
        <v>180</v>
      </c>
      <c r="N12" s="14">
        <v>200</v>
      </c>
      <c r="O12" s="49" t="s">
        <v>135</v>
      </c>
      <c r="P12" s="15" t="s">
        <v>128</v>
      </c>
      <c r="Q12" s="15">
        <f>P12*N12</f>
        <v>1.5599999999999998</v>
      </c>
      <c r="R12" s="14"/>
    </row>
    <row r="13" spans="1:18" ht="60">
      <c r="A13" s="1"/>
      <c r="B13" s="17">
        <f t="shared" si="0"/>
        <v>6</v>
      </c>
      <c r="C13" s="23" t="s">
        <v>9</v>
      </c>
      <c r="D13" s="20" t="s">
        <v>22</v>
      </c>
      <c r="E13" s="20" t="s">
        <v>39</v>
      </c>
      <c r="F13" s="20" t="s">
        <v>122</v>
      </c>
      <c r="G13" s="20" t="s">
        <v>54</v>
      </c>
      <c r="H13" s="20" t="s">
        <v>80</v>
      </c>
      <c r="I13" s="14" t="s">
        <v>121</v>
      </c>
      <c r="J13" s="20" t="s">
        <v>91</v>
      </c>
      <c r="K13" s="14" t="s">
        <v>121</v>
      </c>
      <c r="L13" s="20">
        <v>1</v>
      </c>
      <c r="M13" s="14">
        <f t="shared" si="1"/>
        <v>10</v>
      </c>
      <c r="N13" s="20">
        <v>11</v>
      </c>
      <c r="O13" s="49" t="s">
        <v>135</v>
      </c>
      <c r="P13" s="21" t="s">
        <v>129</v>
      </c>
      <c r="Q13" s="21">
        <f t="shared" ref="Q13" si="4">P13*N13</f>
        <v>5.5461999999999998</v>
      </c>
      <c r="R13" s="20"/>
    </row>
    <row r="14" spans="1:18">
      <c r="A14" s="1"/>
      <c r="B14" s="16">
        <f>ROW(B14) - ROW($B$7)</f>
        <v>7</v>
      </c>
      <c r="C14" s="22" t="s">
        <v>10</v>
      </c>
      <c r="D14" s="14" t="s">
        <v>23</v>
      </c>
      <c r="E14" s="14" t="s">
        <v>40</v>
      </c>
      <c r="F14" s="20" t="s">
        <v>122</v>
      </c>
      <c r="G14" s="14" t="s">
        <v>55</v>
      </c>
      <c r="H14" s="14" t="s">
        <v>81</v>
      </c>
      <c r="I14" s="14" t="s">
        <v>121</v>
      </c>
      <c r="J14" s="14" t="s">
        <v>121</v>
      </c>
      <c r="K14" s="14" t="s">
        <v>121</v>
      </c>
      <c r="L14" s="14">
        <v>1</v>
      </c>
      <c r="M14" s="14">
        <f t="shared" si="1"/>
        <v>10</v>
      </c>
      <c r="N14" s="14">
        <v>11</v>
      </c>
      <c r="O14" s="49" t="s">
        <v>138</v>
      </c>
      <c r="P14" s="15">
        <v>1.8387</v>
      </c>
      <c r="Q14" s="15">
        <f>P14*N14</f>
        <v>20.2257</v>
      </c>
      <c r="R14" s="14"/>
    </row>
    <row r="15" spans="1:18" ht="48">
      <c r="A15" s="1"/>
      <c r="B15" s="17">
        <f t="shared" si="0"/>
        <v>8</v>
      </c>
      <c r="C15" s="23" t="s">
        <v>9</v>
      </c>
      <c r="D15" s="45" t="s">
        <v>24</v>
      </c>
      <c r="E15" s="45" t="s">
        <v>41</v>
      </c>
      <c r="F15" s="45" t="s">
        <v>122</v>
      </c>
      <c r="G15" s="45" t="s">
        <v>67</v>
      </c>
      <c r="H15" s="45" t="s">
        <v>80</v>
      </c>
      <c r="I15" s="14" t="s">
        <v>121</v>
      </c>
      <c r="J15" s="45" t="s">
        <v>92</v>
      </c>
      <c r="K15" s="46" t="s">
        <v>121</v>
      </c>
      <c r="L15" s="45">
        <v>3</v>
      </c>
      <c r="M15" s="46">
        <f t="shared" si="1"/>
        <v>30</v>
      </c>
      <c r="N15" s="45">
        <v>32</v>
      </c>
      <c r="O15" s="49" t="s">
        <v>135</v>
      </c>
      <c r="P15" s="47" t="s">
        <v>130</v>
      </c>
      <c r="Q15" s="47">
        <f t="shared" ref="Q15" si="5">P15*N15</f>
        <v>12.268800000000001</v>
      </c>
      <c r="R15" s="48" t="s">
        <v>123</v>
      </c>
    </row>
    <row r="16" spans="1:18" ht="36">
      <c r="A16" s="1"/>
      <c r="B16" s="16">
        <f>ROW(B16) - ROW($B$7)</f>
        <v>9</v>
      </c>
      <c r="C16" s="22" t="s">
        <v>11</v>
      </c>
      <c r="D16" s="14" t="s">
        <v>25</v>
      </c>
      <c r="E16" s="14" t="s">
        <v>42</v>
      </c>
      <c r="F16" s="14" t="s">
        <v>56</v>
      </c>
      <c r="G16" s="14" t="s">
        <v>68</v>
      </c>
      <c r="H16" s="14" t="s">
        <v>82</v>
      </c>
      <c r="I16" s="14" t="s">
        <v>121</v>
      </c>
      <c r="J16" s="14" t="s">
        <v>93</v>
      </c>
      <c r="K16" s="14" t="s">
        <v>121</v>
      </c>
      <c r="L16" s="14">
        <v>12</v>
      </c>
      <c r="M16" s="14">
        <f t="shared" si="1"/>
        <v>120</v>
      </c>
      <c r="N16" s="14">
        <v>140</v>
      </c>
      <c r="O16" s="49" t="s">
        <v>135</v>
      </c>
      <c r="P16" s="15" t="s">
        <v>131</v>
      </c>
      <c r="Q16" s="15">
        <f>P16*N16</f>
        <v>3.29</v>
      </c>
      <c r="R16" s="14"/>
    </row>
    <row r="17" spans="1:18" ht="60">
      <c r="A17" s="1"/>
      <c r="B17" s="17">
        <f t="shared" si="0"/>
        <v>10</v>
      </c>
      <c r="C17" s="23" t="s">
        <v>12</v>
      </c>
      <c r="D17" s="20" t="s">
        <v>26</v>
      </c>
      <c r="E17" s="20" t="s">
        <v>43</v>
      </c>
      <c r="F17" s="20" t="s">
        <v>57</v>
      </c>
      <c r="G17" s="20" t="s">
        <v>69</v>
      </c>
      <c r="H17" s="20" t="s">
        <v>78</v>
      </c>
      <c r="I17" s="14" t="s">
        <v>121</v>
      </c>
      <c r="J17" s="20" t="s">
        <v>94</v>
      </c>
      <c r="K17" s="20" t="s">
        <v>103</v>
      </c>
      <c r="L17" s="20">
        <v>30</v>
      </c>
      <c r="M17" s="14">
        <f t="shared" si="1"/>
        <v>300</v>
      </c>
      <c r="N17" s="20">
        <v>400</v>
      </c>
      <c r="O17" s="49" t="s">
        <v>135</v>
      </c>
      <c r="P17" s="21" t="s">
        <v>132</v>
      </c>
      <c r="Q17" s="21">
        <f t="shared" ref="Q17" si="6">P17*N17</f>
        <v>0.44</v>
      </c>
      <c r="R17" s="20"/>
    </row>
    <row r="18" spans="1:18" ht="36">
      <c r="A18" s="1"/>
      <c r="B18" s="16">
        <f>ROW(B18) - ROW($B$7)</f>
        <v>11</v>
      </c>
      <c r="C18" s="22" t="s">
        <v>12</v>
      </c>
      <c r="D18" s="14" t="s">
        <v>27</v>
      </c>
      <c r="E18" s="14" t="s">
        <v>44</v>
      </c>
      <c r="F18" s="14" t="s">
        <v>57</v>
      </c>
      <c r="G18" s="14" t="s">
        <v>70</v>
      </c>
      <c r="H18" s="14" t="s">
        <v>78</v>
      </c>
      <c r="I18" s="14" t="s">
        <v>121</v>
      </c>
      <c r="J18" s="14" t="s">
        <v>95</v>
      </c>
      <c r="K18" s="14" t="s">
        <v>104</v>
      </c>
      <c r="L18" s="14">
        <v>18</v>
      </c>
      <c r="M18" s="14">
        <f t="shared" si="1"/>
        <v>180</v>
      </c>
      <c r="N18" s="14">
        <v>200</v>
      </c>
      <c r="O18" s="49" t="s">
        <v>135</v>
      </c>
      <c r="P18" s="15" t="s">
        <v>132</v>
      </c>
      <c r="Q18" s="15">
        <f>P18*N18</f>
        <v>0.22</v>
      </c>
      <c r="R18" s="14"/>
    </row>
    <row r="19" spans="1:18" ht="36">
      <c r="A19" s="1"/>
      <c r="B19" s="17">
        <f t="shared" si="0"/>
        <v>12</v>
      </c>
      <c r="C19" s="23" t="s">
        <v>13</v>
      </c>
      <c r="D19" s="20" t="s">
        <v>28</v>
      </c>
      <c r="E19" s="20" t="s">
        <v>45</v>
      </c>
      <c r="F19" s="20" t="s">
        <v>58</v>
      </c>
      <c r="G19" s="50" t="s">
        <v>71</v>
      </c>
      <c r="H19" s="20" t="s">
        <v>78</v>
      </c>
      <c r="I19" s="20" t="s">
        <v>137</v>
      </c>
      <c r="J19" s="20" t="s">
        <v>136</v>
      </c>
      <c r="K19" s="20" t="s">
        <v>105</v>
      </c>
      <c r="L19" s="20">
        <v>18</v>
      </c>
      <c r="M19" s="14">
        <f t="shared" si="1"/>
        <v>180</v>
      </c>
      <c r="N19" s="20">
        <v>185</v>
      </c>
      <c r="O19" s="49" t="s">
        <v>135</v>
      </c>
      <c r="P19" s="21">
        <v>4.7600000000000003E-2</v>
      </c>
      <c r="Q19" s="21">
        <f t="shared" ref="Q19" si="7">P19*N19</f>
        <v>8.8060000000000009</v>
      </c>
      <c r="R19" s="20"/>
    </row>
    <row r="20" spans="1:18">
      <c r="A20" s="1"/>
      <c r="B20" s="16">
        <f>ROW(B20) - ROW($B$7)</f>
        <v>13</v>
      </c>
      <c r="C20" s="22" t="s">
        <v>12</v>
      </c>
      <c r="D20" s="14" t="s">
        <v>29</v>
      </c>
      <c r="E20" s="14" t="s">
        <v>46</v>
      </c>
      <c r="F20" s="14" t="s">
        <v>57</v>
      </c>
      <c r="G20" s="14" t="s">
        <v>72</v>
      </c>
      <c r="H20" s="14" t="s">
        <v>78</v>
      </c>
      <c r="I20" s="14" t="s">
        <v>121</v>
      </c>
      <c r="J20" s="14" t="s">
        <v>96</v>
      </c>
      <c r="K20" s="14" t="s">
        <v>106</v>
      </c>
      <c r="L20" s="14">
        <v>3</v>
      </c>
      <c r="M20" s="14">
        <f t="shared" si="1"/>
        <v>30</v>
      </c>
      <c r="N20" s="14">
        <v>100</v>
      </c>
      <c r="O20" s="49" t="s">
        <v>135</v>
      </c>
      <c r="P20" s="15" t="s">
        <v>132</v>
      </c>
      <c r="Q20" s="15">
        <f>P20*N20</f>
        <v>0.11</v>
      </c>
      <c r="R20" s="14"/>
    </row>
    <row r="21" spans="1:18" ht="24">
      <c r="A21" s="1"/>
      <c r="B21" s="17">
        <f t="shared" si="0"/>
        <v>14</v>
      </c>
      <c r="C21" s="23" t="s">
        <v>12</v>
      </c>
      <c r="D21" s="20" t="s">
        <v>30</v>
      </c>
      <c r="E21" s="20" t="s">
        <v>47</v>
      </c>
      <c r="F21" s="20" t="s">
        <v>57</v>
      </c>
      <c r="G21" s="20" t="s">
        <v>73</v>
      </c>
      <c r="H21" s="20" t="s">
        <v>78</v>
      </c>
      <c r="I21" s="14" t="s">
        <v>121</v>
      </c>
      <c r="J21" s="20" t="s">
        <v>97</v>
      </c>
      <c r="K21" s="20" t="s">
        <v>107</v>
      </c>
      <c r="L21" s="20">
        <v>12</v>
      </c>
      <c r="M21" s="14">
        <f t="shared" si="1"/>
        <v>120</v>
      </c>
      <c r="N21" s="20">
        <v>100</v>
      </c>
      <c r="O21" s="49" t="s">
        <v>135</v>
      </c>
      <c r="P21" s="21" t="s">
        <v>133</v>
      </c>
      <c r="Q21" s="21">
        <f t="shared" ref="Q21" si="8">P21*N21</f>
        <v>0.12</v>
      </c>
      <c r="R21" s="20"/>
    </row>
    <row r="22" spans="1:18">
      <c r="A22" s="1"/>
      <c r="B22" s="16">
        <f>ROW(B22) - ROW($B$7)</f>
        <v>15</v>
      </c>
      <c r="C22" s="22" t="s">
        <v>14</v>
      </c>
      <c r="D22" s="14" t="s">
        <v>31</v>
      </c>
      <c r="E22" s="14" t="s">
        <v>48</v>
      </c>
      <c r="F22" s="14" t="s">
        <v>59</v>
      </c>
      <c r="G22" s="14" t="s">
        <v>74</v>
      </c>
      <c r="H22" s="14" t="s">
        <v>83</v>
      </c>
      <c r="I22" s="14" t="s">
        <v>121</v>
      </c>
      <c r="J22" s="14" t="s">
        <v>120</v>
      </c>
      <c r="K22" s="14" t="s">
        <v>121</v>
      </c>
      <c r="L22" s="14">
        <v>3</v>
      </c>
      <c r="M22" s="14">
        <f t="shared" si="1"/>
        <v>30</v>
      </c>
      <c r="N22" s="14">
        <v>31</v>
      </c>
      <c r="O22" s="49" t="s">
        <v>138</v>
      </c>
      <c r="P22" s="15">
        <v>7.3253599999999999</v>
      </c>
      <c r="Q22" s="15">
        <f>P22*N22</f>
        <v>227.08616000000001</v>
      </c>
      <c r="R22" s="14"/>
    </row>
    <row r="23" spans="1:18" ht="36.75" thickBot="1">
      <c r="A23" s="1"/>
      <c r="B23" s="17">
        <f t="shared" si="0"/>
        <v>16</v>
      </c>
      <c r="C23" s="23" t="s">
        <v>15</v>
      </c>
      <c r="D23" s="20" t="s">
        <v>32</v>
      </c>
      <c r="E23" s="20" t="s">
        <v>49</v>
      </c>
      <c r="F23" s="20" t="s">
        <v>60</v>
      </c>
      <c r="G23" s="20" t="s">
        <v>75</v>
      </c>
      <c r="H23" s="20" t="s">
        <v>84</v>
      </c>
      <c r="I23" s="14" t="s">
        <v>121</v>
      </c>
      <c r="J23" s="20" t="s">
        <v>98</v>
      </c>
      <c r="K23" s="20" t="s">
        <v>108</v>
      </c>
      <c r="L23" s="20">
        <v>3</v>
      </c>
      <c r="M23" s="14">
        <f t="shared" si="1"/>
        <v>30</v>
      </c>
      <c r="N23" s="20">
        <v>35</v>
      </c>
      <c r="O23" s="49" t="s">
        <v>135</v>
      </c>
      <c r="P23" s="21" t="s">
        <v>134</v>
      </c>
      <c r="Q23" s="21">
        <f t="shared" ref="Q23" si="9">P23*N23</f>
        <v>2.7439999999999998</v>
      </c>
      <c r="R23" s="20"/>
    </row>
    <row r="24" spans="1:18" ht="19.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3" t="s">
        <v>3</v>
      </c>
      <c r="O24" s="44"/>
      <c r="P24" s="44"/>
      <c r="Q24" s="18">
        <f>SUM(Q8:Q23)</f>
        <v>303.04086000000007</v>
      </c>
      <c r="R24" s="1"/>
    </row>
    <row r="25" spans="1:18" ht="19.5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3" t="s">
        <v>4</v>
      </c>
      <c r="O25" s="44"/>
      <c r="P25" s="44"/>
      <c r="Q25" s="19">
        <f>Q24/10</f>
        <v>30.304086000000005</v>
      </c>
      <c r="R25" s="1"/>
    </row>
    <row r="37" spans="13:13">
      <c r="M37" s="38"/>
    </row>
  </sheetData>
  <mergeCells count="3">
    <mergeCell ref="K1:R1"/>
    <mergeCell ref="N24:P24"/>
    <mergeCell ref="N25:P25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5" r:id="rId7"/>
    <hyperlink ref="O16" r:id="rId8"/>
    <hyperlink ref="O17" r:id="rId9"/>
    <hyperlink ref="O18" r:id="rId10"/>
    <hyperlink ref="O20" r:id="rId11"/>
    <hyperlink ref="O21" r:id="rId12"/>
    <hyperlink ref="O23" r:id="rId13"/>
    <hyperlink ref="O19" r:id="rId14"/>
    <hyperlink ref="O22" r:id="rId15"/>
    <hyperlink ref="O14" r:id="rId16"/>
  </hyperlinks>
  <pageMargins left="0.7" right="0.7" top="0.75" bottom="0.75" header="0.3" footer="0.3"/>
  <pageSetup paperSize="9"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D13" sqref="D13"/>
    </sheetView>
  </sheetViews>
  <sheetFormatPr defaultRowHeight="15"/>
  <cols>
    <col min="2" max="2" width="3" bestFit="1" customWidth="1"/>
    <col min="3" max="3" width="14.7109375" customWidth="1"/>
    <col min="4" max="4" width="31.140625" bestFit="1" customWidth="1"/>
    <col min="5" max="5" width="28.7109375" customWidth="1"/>
    <col min="6" max="6" width="12.140625" customWidth="1"/>
    <col min="7" max="7" width="25.28515625" bestFit="1" customWidth="1"/>
    <col min="8" max="8" width="16.140625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21.42578125" bestFit="1" customWidth="1"/>
    <col min="14" max="14" width="18.28515625" bestFit="1" customWidth="1"/>
    <col min="16" max="16" width="21.85546875" bestFit="1" customWidth="1"/>
    <col min="17" max="17" width="22.42578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>
      <c r="A2" s="1"/>
      <c r="B2" s="7"/>
      <c r="C2" s="13"/>
      <c r="D2" s="4" t="s">
        <v>0</v>
      </c>
      <c r="E2" s="4"/>
      <c r="F2" s="40" t="s">
        <v>110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111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16</v>
      </c>
      <c r="E7" s="12" t="s">
        <v>33</v>
      </c>
      <c r="F7" s="12" t="s">
        <v>50</v>
      </c>
      <c r="G7" s="12" t="s">
        <v>61</v>
      </c>
      <c r="H7" s="12" t="s">
        <v>76</v>
      </c>
      <c r="I7" s="12" t="s">
        <v>112</v>
      </c>
      <c r="J7" s="12" t="s">
        <v>85</v>
      </c>
      <c r="K7" s="12" t="s">
        <v>113</v>
      </c>
      <c r="L7" s="12" t="s">
        <v>109</v>
      </c>
      <c r="M7" s="12" t="s">
        <v>139</v>
      </c>
      <c r="N7" s="12" t="s">
        <v>140</v>
      </c>
      <c r="O7" s="12" t="s">
        <v>114</v>
      </c>
      <c r="P7" s="12" t="s">
        <v>141</v>
      </c>
      <c r="Q7" s="12" t="s">
        <v>142</v>
      </c>
      <c r="R7" s="12" t="s">
        <v>115</v>
      </c>
    </row>
    <row r="8" spans="1:18" s="52" customFormat="1" ht="60">
      <c r="A8" s="51"/>
      <c r="B8" s="16">
        <f>ROW(B8) - ROW($B$7)</f>
        <v>1</v>
      </c>
      <c r="C8" s="22" t="s">
        <v>6</v>
      </c>
      <c r="D8" s="14" t="s">
        <v>17</v>
      </c>
      <c r="E8" s="14" t="s">
        <v>34</v>
      </c>
      <c r="F8" s="14" t="s">
        <v>51</v>
      </c>
      <c r="G8" s="14" t="s">
        <v>62</v>
      </c>
      <c r="H8" s="14" t="s">
        <v>77</v>
      </c>
      <c r="I8" s="14" t="s">
        <v>121</v>
      </c>
      <c r="J8" s="14" t="s">
        <v>86</v>
      </c>
      <c r="K8" s="14" t="s">
        <v>99</v>
      </c>
      <c r="L8" s="14">
        <v>36</v>
      </c>
      <c r="M8" s="14">
        <f>L8*1000</f>
        <v>36000</v>
      </c>
      <c r="N8" s="14">
        <v>36010</v>
      </c>
      <c r="O8" s="49" t="s">
        <v>135</v>
      </c>
      <c r="P8" s="15" t="s">
        <v>143</v>
      </c>
      <c r="Q8" s="15">
        <f>P8*N8</f>
        <v>821.02800000000002</v>
      </c>
      <c r="R8" s="14"/>
    </row>
    <row r="9" spans="1:18" s="52" customFormat="1">
      <c r="A9" s="51"/>
      <c r="B9" s="17">
        <f t="shared" ref="B9:B23" si="0">ROW(B9) - ROW($B$7)</f>
        <v>2</v>
      </c>
      <c r="C9" s="23" t="s">
        <v>7</v>
      </c>
      <c r="D9" s="20" t="s">
        <v>18</v>
      </c>
      <c r="E9" s="20" t="s">
        <v>35</v>
      </c>
      <c r="F9" s="20" t="s">
        <v>52</v>
      </c>
      <c r="G9" s="20" t="s">
        <v>63</v>
      </c>
      <c r="H9" s="20" t="s">
        <v>78</v>
      </c>
      <c r="I9" s="14" t="s">
        <v>121</v>
      </c>
      <c r="J9" s="20" t="s">
        <v>87</v>
      </c>
      <c r="K9" s="20" t="s">
        <v>100</v>
      </c>
      <c r="L9" s="20">
        <v>6</v>
      </c>
      <c r="M9" s="14">
        <f t="shared" ref="M9:M23" si="1">L9*1000</f>
        <v>6000</v>
      </c>
      <c r="N9" s="20">
        <v>6100</v>
      </c>
      <c r="O9" s="49" t="s">
        <v>135</v>
      </c>
      <c r="P9" s="21" t="s">
        <v>144</v>
      </c>
      <c r="Q9" s="21">
        <f t="shared" ref="Q9" si="2">P9*N9</f>
        <v>9.15</v>
      </c>
      <c r="R9" s="20"/>
    </row>
    <row r="10" spans="1:18" s="52" customFormat="1" ht="24">
      <c r="A10" s="51"/>
      <c r="B10" s="16">
        <f>ROW(B10) - ROW($B$7)</f>
        <v>3</v>
      </c>
      <c r="C10" s="22" t="s">
        <v>6</v>
      </c>
      <c r="D10" s="14" t="s">
        <v>19</v>
      </c>
      <c r="E10" s="14" t="s">
        <v>36</v>
      </c>
      <c r="F10" s="14" t="s">
        <v>52</v>
      </c>
      <c r="G10" s="14" t="s">
        <v>64</v>
      </c>
      <c r="H10" s="14" t="s">
        <v>77</v>
      </c>
      <c r="I10" s="14" t="s">
        <v>121</v>
      </c>
      <c r="J10" s="14" t="s">
        <v>88</v>
      </c>
      <c r="K10" s="14" t="s">
        <v>101</v>
      </c>
      <c r="L10" s="14">
        <v>16</v>
      </c>
      <c r="M10" s="14">
        <f t="shared" si="1"/>
        <v>16000</v>
      </c>
      <c r="N10" s="14">
        <v>16050</v>
      </c>
      <c r="O10" s="49" t="s">
        <v>135</v>
      </c>
      <c r="P10" s="15" t="s">
        <v>145</v>
      </c>
      <c r="Q10" s="15">
        <f>P10*N10</f>
        <v>255.19500000000002</v>
      </c>
      <c r="R10" s="14"/>
    </row>
    <row r="11" spans="1:18" s="52" customFormat="1" ht="24">
      <c r="A11" s="51"/>
      <c r="B11" s="17">
        <f t="shared" si="0"/>
        <v>4</v>
      </c>
      <c r="C11" s="23" t="s">
        <v>6</v>
      </c>
      <c r="D11" s="20" t="s">
        <v>20</v>
      </c>
      <c r="E11" s="20" t="s">
        <v>37</v>
      </c>
      <c r="F11" s="20" t="s">
        <v>52</v>
      </c>
      <c r="G11" s="20" t="s">
        <v>65</v>
      </c>
      <c r="H11" s="20" t="s">
        <v>77</v>
      </c>
      <c r="I11" s="14" t="s">
        <v>121</v>
      </c>
      <c r="J11" s="20" t="s">
        <v>89</v>
      </c>
      <c r="K11" s="20" t="s">
        <v>102</v>
      </c>
      <c r="L11" s="20">
        <v>13</v>
      </c>
      <c r="M11" s="14">
        <f t="shared" si="1"/>
        <v>13000</v>
      </c>
      <c r="N11" s="20">
        <v>13010</v>
      </c>
      <c r="O11" s="49" t="s">
        <v>135</v>
      </c>
      <c r="P11" s="21" t="s">
        <v>146</v>
      </c>
      <c r="Q11" s="21">
        <f t="shared" ref="Q11" si="3">P11*N11</f>
        <v>286.21999999999997</v>
      </c>
      <c r="R11" s="20"/>
    </row>
    <row r="12" spans="1:18" s="52" customFormat="1" ht="36">
      <c r="A12" s="51"/>
      <c r="B12" s="16">
        <f>ROW(B12) - ROW($B$7)</f>
        <v>5</v>
      </c>
      <c r="C12" s="22" t="s">
        <v>8</v>
      </c>
      <c r="D12" s="14" t="s">
        <v>21</v>
      </c>
      <c r="E12" s="14" t="s">
        <v>38</v>
      </c>
      <c r="F12" s="14" t="s">
        <v>53</v>
      </c>
      <c r="G12" s="14" t="s">
        <v>66</v>
      </c>
      <c r="H12" s="14" t="s">
        <v>79</v>
      </c>
      <c r="I12" s="14" t="s">
        <v>121</v>
      </c>
      <c r="J12" s="14" t="s">
        <v>90</v>
      </c>
      <c r="K12" s="14" t="s">
        <v>121</v>
      </c>
      <c r="L12" s="14">
        <v>18</v>
      </c>
      <c r="M12" s="14">
        <f t="shared" si="1"/>
        <v>18000</v>
      </c>
      <c r="N12" s="14">
        <v>18050</v>
      </c>
      <c r="O12" s="49" t="s">
        <v>135</v>
      </c>
      <c r="P12" s="15" t="s">
        <v>147</v>
      </c>
      <c r="Q12" s="15">
        <f>P12*N12</f>
        <v>81.224999999999994</v>
      </c>
      <c r="R12" s="14"/>
    </row>
    <row r="13" spans="1:18" s="52" customFormat="1" ht="60">
      <c r="A13" s="51"/>
      <c r="B13" s="17">
        <f t="shared" si="0"/>
        <v>6</v>
      </c>
      <c r="C13" s="23" t="s">
        <v>9</v>
      </c>
      <c r="D13" s="20" t="s">
        <v>22</v>
      </c>
      <c r="E13" s="20" t="s">
        <v>39</v>
      </c>
      <c r="F13" s="20" t="s">
        <v>122</v>
      </c>
      <c r="G13" s="20" t="s">
        <v>54</v>
      </c>
      <c r="H13" s="20" t="s">
        <v>80</v>
      </c>
      <c r="I13" s="14" t="s">
        <v>121</v>
      </c>
      <c r="J13" s="20" t="s">
        <v>91</v>
      </c>
      <c r="K13" s="14" t="s">
        <v>121</v>
      </c>
      <c r="L13" s="20">
        <v>1</v>
      </c>
      <c r="M13" s="14">
        <f t="shared" si="1"/>
        <v>1000</v>
      </c>
      <c r="N13" s="20">
        <v>1002</v>
      </c>
      <c r="O13" s="49" t="s">
        <v>135</v>
      </c>
      <c r="P13" s="21" t="s">
        <v>148</v>
      </c>
      <c r="Q13" s="21">
        <f t="shared" ref="Q13" si="4">P13*N13</f>
        <v>322.94459999999998</v>
      </c>
      <c r="R13" s="20"/>
    </row>
    <row r="14" spans="1:18" s="52" customFormat="1" ht="30">
      <c r="A14" s="51"/>
      <c r="B14" s="16">
        <f>ROW(B14) - ROW($B$7)</f>
        <v>7</v>
      </c>
      <c r="C14" s="22" t="s">
        <v>10</v>
      </c>
      <c r="D14" s="14" t="s">
        <v>23</v>
      </c>
      <c r="E14" s="14" t="s">
        <v>40</v>
      </c>
      <c r="F14" s="20" t="s">
        <v>122</v>
      </c>
      <c r="G14" s="14" t="s">
        <v>55</v>
      </c>
      <c r="H14" s="14" t="s">
        <v>81</v>
      </c>
      <c r="I14" s="14" t="s">
        <v>121</v>
      </c>
      <c r="J14" s="14" t="s">
        <v>121</v>
      </c>
      <c r="K14" s="14" t="s">
        <v>121</v>
      </c>
      <c r="L14" s="14">
        <v>1</v>
      </c>
      <c r="M14" s="14">
        <f t="shared" si="1"/>
        <v>1000</v>
      </c>
      <c r="N14" s="14">
        <v>1002</v>
      </c>
      <c r="O14" s="49" t="s">
        <v>138</v>
      </c>
      <c r="P14" s="15">
        <v>0.91935</v>
      </c>
      <c r="Q14" s="15">
        <f>P14*N14</f>
        <v>921.18870000000004</v>
      </c>
      <c r="R14" s="14"/>
    </row>
    <row r="15" spans="1:18" s="52" customFormat="1" ht="48">
      <c r="A15" s="51"/>
      <c r="B15" s="17">
        <f t="shared" si="0"/>
        <v>8</v>
      </c>
      <c r="C15" s="23" t="s">
        <v>9</v>
      </c>
      <c r="D15" s="45" t="s">
        <v>24</v>
      </c>
      <c r="E15" s="45" t="s">
        <v>41</v>
      </c>
      <c r="F15" s="45" t="s">
        <v>122</v>
      </c>
      <c r="G15" s="45" t="s">
        <v>67</v>
      </c>
      <c r="H15" s="45" t="s">
        <v>80</v>
      </c>
      <c r="I15" s="14" t="s">
        <v>121</v>
      </c>
      <c r="J15" s="45" t="s">
        <v>92</v>
      </c>
      <c r="K15" s="46" t="s">
        <v>121</v>
      </c>
      <c r="L15" s="45">
        <v>3</v>
      </c>
      <c r="M15" s="14">
        <f t="shared" si="1"/>
        <v>3000</v>
      </c>
      <c r="N15" s="45">
        <v>3002</v>
      </c>
      <c r="O15" s="49" t="s">
        <v>135</v>
      </c>
      <c r="P15" s="47" t="s">
        <v>149</v>
      </c>
      <c r="Q15" s="47">
        <f t="shared" ref="Q15" si="5">P15*N15</f>
        <v>830.95359999999994</v>
      </c>
      <c r="R15" s="48" t="s">
        <v>123</v>
      </c>
    </row>
    <row r="16" spans="1:18" s="52" customFormat="1" ht="24">
      <c r="A16" s="51"/>
      <c r="B16" s="16">
        <f>ROW(B16) - ROW($B$7)</f>
        <v>9</v>
      </c>
      <c r="C16" s="22" t="s">
        <v>11</v>
      </c>
      <c r="D16" s="14" t="s">
        <v>25</v>
      </c>
      <c r="E16" s="14" t="s">
        <v>42</v>
      </c>
      <c r="F16" s="14" t="s">
        <v>56</v>
      </c>
      <c r="G16" s="14" t="s">
        <v>68</v>
      </c>
      <c r="H16" s="14" t="s">
        <v>82</v>
      </c>
      <c r="I16" s="14" t="s">
        <v>121</v>
      </c>
      <c r="J16" s="14" t="s">
        <v>93</v>
      </c>
      <c r="K16" s="14" t="s">
        <v>121</v>
      </c>
      <c r="L16" s="14">
        <v>12</v>
      </c>
      <c r="M16" s="14">
        <f t="shared" si="1"/>
        <v>12000</v>
      </c>
      <c r="N16" s="14">
        <v>12020</v>
      </c>
      <c r="O16" s="49" t="s">
        <v>135</v>
      </c>
      <c r="P16" s="15" t="s">
        <v>150</v>
      </c>
      <c r="Q16" s="15">
        <f>P16*N16</f>
        <v>138.22999999999999</v>
      </c>
      <c r="R16" s="14"/>
    </row>
    <row r="17" spans="1:18" s="52" customFormat="1" ht="48">
      <c r="A17" s="51"/>
      <c r="B17" s="17">
        <f t="shared" si="0"/>
        <v>10</v>
      </c>
      <c r="C17" s="23" t="s">
        <v>12</v>
      </c>
      <c r="D17" s="20" t="s">
        <v>26</v>
      </c>
      <c r="E17" s="20" t="s">
        <v>43</v>
      </c>
      <c r="F17" s="20" t="s">
        <v>57</v>
      </c>
      <c r="G17" s="20" t="s">
        <v>69</v>
      </c>
      <c r="H17" s="20" t="s">
        <v>78</v>
      </c>
      <c r="I17" s="14" t="s">
        <v>121</v>
      </c>
      <c r="J17" s="20" t="s">
        <v>94</v>
      </c>
      <c r="K17" s="20" t="s">
        <v>103</v>
      </c>
      <c r="L17" s="20">
        <v>30</v>
      </c>
      <c r="M17" s="14">
        <f t="shared" si="1"/>
        <v>30000</v>
      </c>
      <c r="N17" s="20">
        <v>30100</v>
      </c>
      <c r="O17" s="49" t="s">
        <v>135</v>
      </c>
      <c r="P17" s="21" t="s">
        <v>151</v>
      </c>
      <c r="Q17" s="21">
        <f t="shared" ref="Q17" si="6">P17*N17</f>
        <v>18.059999999999999</v>
      </c>
      <c r="R17" s="20"/>
    </row>
    <row r="18" spans="1:18" s="52" customFormat="1" ht="36">
      <c r="A18" s="51"/>
      <c r="B18" s="16">
        <f>ROW(B18) - ROW($B$7)</f>
        <v>11</v>
      </c>
      <c r="C18" s="22" t="s">
        <v>12</v>
      </c>
      <c r="D18" s="14" t="s">
        <v>27</v>
      </c>
      <c r="E18" s="14" t="s">
        <v>44</v>
      </c>
      <c r="F18" s="14" t="s">
        <v>57</v>
      </c>
      <c r="G18" s="14" t="s">
        <v>70</v>
      </c>
      <c r="H18" s="14" t="s">
        <v>78</v>
      </c>
      <c r="I18" s="14" t="s">
        <v>121</v>
      </c>
      <c r="J18" s="14" t="s">
        <v>95</v>
      </c>
      <c r="K18" s="14" t="s">
        <v>104</v>
      </c>
      <c r="L18" s="14">
        <v>18</v>
      </c>
      <c r="M18" s="14">
        <f t="shared" si="1"/>
        <v>18000</v>
      </c>
      <c r="N18" s="14">
        <v>18100</v>
      </c>
      <c r="O18" s="49" t="s">
        <v>135</v>
      </c>
      <c r="P18" s="15" t="s">
        <v>151</v>
      </c>
      <c r="Q18" s="15">
        <f>P18*N18</f>
        <v>10.86</v>
      </c>
      <c r="R18" s="14"/>
    </row>
    <row r="19" spans="1:18" s="52" customFormat="1" ht="36">
      <c r="A19" s="51"/>
      <c r="B19" s="17">
        <f t="shared" si="0"/>
        <v>12</v>
      </c>
      <c r="C19" s="23" t="s">
        <v>13</v>
      </c>
      <c r="D19" s="20" t="s">
        <v>28</v>
      </c>
      <c r="E19" s="20" t="s">
        <v>45</v>
      </c>
      <c r="F19" s="20" t="s">
        <v>58</v>
      </c>
      <c r="G19" s="50" t="s">
        <v>71</v>
      </c>
      <c r="H19" s="20" t="s">
        <v>78</v>
      </c>
      <c r="I19" s="20" t="s">
        <v>137</v>
      </c>
      <c r="J19" s="20" t="s">
        <v>136</v>
      </c>
      <c r="K19" s="20" t="s">
        <v>105</v>
      </c>
      <c r="L19" s="20">
        <v>18</v>
      </c>
      <c r="M19" s="14">
        <f t="shared" si="1"/>
        <v>18000</v>
      </c>
      <c r="N19" s="20">
        <v>18005</v>
      </c>
      <c r="O19" s="49" t="s">
        <v>135</v>
      </c>
      <c r="P19" s="21">
        <v>3.5200000000000002E-2</v>
      </c>
      <c r="Q19" s="21">
        <f t="shared" ref="Q19" si="7">P19*N19</f>
        <v>633.77600000000007</v>
      </c>
      <c r="R19" s="20"/>
    </row>
    <row r="20" spans="1:18" s="52" customFormat="1">
      <c r="A20" s="51"/>
      <c r="B20" s="16">
        <f>ROW(B20) - ROW($B$7)</f>
        <v>13</v>
      </c>
      <c r="C20" s="22" t="s">
        <v>12</v>
      </c>
      <c r="D20" s="14" t="s">
        <v>29</v>
      </c>
      <c r="E20" s="14" t="s">
        <v>46</v>
      </c>
      <c r="F20" s="14" t="s">
        <v>57</v>
      </c>
      <c r="G20" s="14" t="s">
        <v>72</v>
      </c>
      <c r="H20" s="14" t="s">
        <v>78</v>
      </c>
      <c r="I20" s="14" t="s">
        <v>121</v>
      </c>
      <c r="J20" s="14" t="s">
        <v>96</v>
      </c>
      <c r="K20" s="14" t="s">
        <v>106</v>
      </c>
      <c r="L20" s="14">
        <v>3</v>
      </c>
      <c r="M20" s="14">
        <f t="shared" si="1"/>
        <v>3000</v>
      </c>
      <c r="N20" s="14">
        <v>3100</v>
      </c>
      <c r="O20" s="49" t="s">
        <v>135</v>
      </c>
      <c r="P20" s="15" t="s">
        <v>152</v>
      </c>
      <c r="Q20" s="15">
        <f>P20*N20</f>
        <v>2.48</v>
      </c>
      <c r="R20" s="14"/>
    </row>
    <row r="21" spans="1:18" s="52" customFormat="1" ht="24">
      <c r="A21" s="51"/>
      <c r="B21" s="17">
        <f t="shared" si="0"/>
        <v>14</v>
      </c>
      <c r="C21" s="23" t="s">
        <v>12</v>
      </c>
      <c r="D21" s="20" t="s">
        <v>30</v>
      </c>
      <c r="E21" s="20" t="s">
        <v>47</v>
      </c>
      <c r="F21" s="20" t="s">
        <v>57</v>
      </c>
      <c r="G21" s="20" t="s">
        <v>73</v>
      </c>
      <c r="H21" s="20" t="s">
        <v>78</v>
      </c>
      <c r="I21" s="14" t="s">
        <v>121</v>
      </c>
      <c r="J21" s="20" t="s">
        <v>97</v>
      </c>
      <c r="K21" s="20" t="s">
        <v>107</v>
      </c>
      <c r="L21" s="20">
        <v>12</v>
      </c>
      <c r="M21" s="14">
        <f t="shared" si="1"/>
        <v>12000</v>
      </c>
      <c r="N21" s="20">
        <v>12100</v>
      </c>
      <c r="O21" s="49" t="s">
        <v>135</v>
      </c>
      <c r="P21" s="21" t="s">
        <v>153</v>
      </c>
      <c r="Q21" s="21">
        <f t="shared" ref="Q21" si="8">P21*N21</f>
        <v>8.4700000000000006</v>
      </c>
      <c r="R21" s="20"/>
    </row>
    <row r="22" spans="1:18" s="52" customFormat="1" ht="30">
      <c r="A22" s="51"/>
      <c r="B22" s="16">
        <f>ROW(B22) - ROW($B$7)</f>
        <v>15</v>
      </c>
      <c r="C22" s="22" t="s">
        <v>14</v>
      </c>
      <c r="D22" s="14" t="s">
        <v>31</v>
      </c>
      <c r="E22" s="14" t="s">
        <v>48</v>
      </c>
      <c r="F22" s="14" t="s">
        <v>59</v>
      </c>
      <c r="G22" s="14" t="s">
        <v>74</v>
      </c>
      <c r="H22" s="14" t="s">
        <v>83</v>
      </c>
      <c r="I22" s="14" t="s">
        <v>121</v>
      </c>
      <c r="J22" s="14" t="s">
        <v>121</v>
      </c>
      <c r="K22" s="14" t="s">
        <v>121</v>
      </c>
      <c r="L22" s="14">
        <v>3</v>
      </c>
      <c r="M22" s="14">
        <f t="shared" si="1"/>
        <v>3000</v>
      </c>
      <c r="N22" s="14">
        <v>3001</v>
      </c>
      <c r="O22" s="49" t="s">
        <v>138</v>
      </c>
      <c r="P22" s="15">
        <v>5.2324000000000002</v>
      </c>
      <c r="Q22" s="15">
        <f>P22*N22</f>
        <v>15702.4324</v>
      </c>
      <c r="R22" s="14"/>
    </row>
    <row r="23" spans="1:18" s="52" customFormat="1" ht="36.75" thickBot="1">
      <c r="A23" s="51"/>
      <c r="B23" s="17">
        <f t="shared" si="0"/>
        <v>16</v>
      </c>
      <c r="C23" s="23" t="s">
        <v>15</v>
      </c>
      <c r="D23" s="20" t="s">
        <v>32</v>
      </c>
      <c r="E23" s="20" t="s">
        <v>49</v>
      </c>
      <c r="F23" s="20" t="s">
        <v>60</v>
      </c>
      <c r="G23" s="20" t="s">
        <v>75</v>
      </c>
      <c r="H23" s="20" t="s">
        <v>84</v>
      </c>
      <c r="I23" s="14" t="s">
        <v>121</v>
      </c>
      <c r="J23" s="20" t="s">
        <v>98</v>
      </c>
      <c r="K23" s="20" t="s">
        <v>108</v>
      </c>
      <c r="L23" s="20">
        <v>3</v>
      </c>
      <c r="M23" s="14">
        <f t="shared" si="1"/>
        <v>3000</v>
      </c>
      <c r="N23" s="20">
        <v>3005</v>
      </c>
      <c r="O23" s="49" t="s">
        <v>135</v>
      </c>
      <c r="P23" s="21" t="s">
        <v>154</v>
      </c>
      <c r="Q23" s="21">
        <f t="shared" ref="Q23" si="9">P23*N23</f>
        <v>124.407</v>
      </c>
      <c r="R23" s="20"/>
    </row>
    <row r="24" spans="1:18" ht="19.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3" t="s">
        <v>3</v>
      </c>
      <c r="O24" s="44"/>
      <c r="P24" s="44"/>
      <c r="Q24" s="18">
        <f>SUM(Q8:Q23)</f>
        <v>20166.620299999999</v>
      </c>
      <c r="R24" s="1"/>
    </row>
    <row r="25" spans="1:18" ht="19.5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3" t="s">
        <v>4</v>
      </c>
      <c r="O25" s="44"/>
      <c r="P25" s="44"/>
      <c r="Q25" s="19">
        <f>Q24/1000</f>
        <v>20.166620299999998</v>
      </c>
      <c r="R25" s="1"/>
    </row>
  </sheetData>
  <mergeCells count="3">
    <mergeCell ref="K1:R1"/>
    <mergeCell ref="N24:P24"/>
    <mergeCell ref="N25:P25"/>
  </mergeCells>
  <hyperlinks>
    <hyperlink ref="O14" r:id="rId1"/>
    <hyperlink ref="O22" r:id="rId2"/>
    <hyperlink ref="O19" r:id="rId3"/>
    <hyperlink ref="O23" r:id="rId4"/>
    <hyperlink ref="O21" r:id="rId5"/>
    <hyperlink ref="O20" r:id="rId6"/>
    <hyperlink ref="O18" r:id="rId7"/>
    <hyperlink ref="O17" r:id="rId8"/>
    <hyperlink ref="O16" r:id="rId9"/>
    <hyperlink ref="O15" r:id="rId10"/>
    <hyperlink ref="O13" r:id="rId11"/>
    <hyperlink ref="O12" r:id="rId12"/>
    <hyperlink ref="O11" r:id="rId13"/>
    <hyperlink ref="O10" r:id="rId14"/>
    <hyperlink ref="O9" r:id="rId15"/>
    <hyperlink ref="O8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2025-02-28T10:43:20Z</dcterms:modified>
</cp:coreProperties>
</file>