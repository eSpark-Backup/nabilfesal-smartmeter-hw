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eSpark-Consultants\nabilfesal-smartmeter-hw\Design-Files\OFP_CIM_v1.5\BOM\"/>
    </mc:Choice>
  </mc:AlternateContent>
  <bookViews>
    <workbookView xWindow="28680" yWindow="-120" windowWidth="29040" windowHeight="15840"/>
  </bookViews>
  <sheets>
    <sheet name="Sheet1" sheetId="1" r:id="rId1"/>
  </sheets>
  <calcPr calcId="162913"/>
</workbook>
</file>

<file path=xl/calcChain.xml><?xml version="1.0" encoding="utf-8"?>
<calcChain xmlns="http://schemas.openxmlformats.org/spreadsheetml/2006/main">
  <c r="B18" i="1" l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 l="1"/>
  <c r="B3" i="1"/>
</calcChain>
</file>

<file path=xl/sharedStrings.xml><?xml version="1.0" encoding="utf-8"?>
<sst xmlns="http://schemas.openxmlformats.org/spreadsheetml/2006/main" count="123" uniqueCount="97">
  <si>
    <t>#</t>
  </si>
  <si>
    <t>Item Type</t>
  </si>
  <si>
    <t>Capacitors</t>
  </si>
  <si>
    <t>Capacitor</t>
  </si>
  <si>
    <t>Diodes</t>
  </si>
  <si>
    <t>Terminal Block</t>
  </si>
  <si>
    <t>Connectors</t>
  </si>
  <si>
    <t>LED</t>
  </si>
  <si>
    <t>Resistor</t>
  </si>
  <si>
    <t>Resistors</t>
  </si>
  <si>
    <t>IC</t>
  </si>
  <si>
    <t>Crystal</t>
  </si>
  <si>
    <t>Designator</t>
  </si>
  <si>
    <t>C1, C2, C3, C4, C5, C6, C7, C8, C11, C12, C13, C14, C28, C29, C30, C31, C32, C33, C34, C35, C38, C39, C40, C41, C55, C56, C57, C58, C59, C60, C61, C62, C65, C66, C67, C68</t>
  </si>
  <si>
    <t>C9, C10, C36, C37, C63, C64</t>
  </si>
  <si>
    <t>C15, C20, C22, C24, C26, C42, C47, C49, C51, C53, C69, C74, C76, C78, C80, C82</t>
  </si>
  <si>
    <t>C21, C23, C25, C27, C48, C50, C52, C54, C75, C77, C79, C81, C83</t>
  </si>
  <si>
    <t>D1, D2, D3, D4, D5, D6, D9, D10, D11, D12, D13, D14, D17, D18, D19, D20, D21, D22</t>
  </si>
  <si>
    <t>J1</t>
  </si>
  <si>
    <t>J2</t>
  </si>
  <si>
    <t>LED1, LED2, LED3, LED4, LED5, LED6, LED7, LED8, LED9, LED10, LED11, LED12</t>
  </si>
  <si>
    <t>R1, R5, R7, R8, R9, R13, R15, R19, R25, R27, R34, R38, R40, R41, R42, R46, R48, R52, R58, R60, R67, R71, R73, R74, R75, R79, R81, R85, R91, R93</t>
  </si>
  <si>
    <t>R2, R6, R10, R14, R16, R20, R35, R39, R43, R47, R49, R53, R68, R72, R76, R80, R82, R86</t>
  </si>
  <si>
    <t>R3, R4, R11, R12, R17, R18, R36, R37, R44, R45, R50, R51, R69, R70, R77, R78, R83, R84</t>
  </si>
  <si>
    <t>R21, R54, R87</t>
  </si>
  <si>
    <t>R30, R31, R32, R33, R63, R64, R65, R66, R96, R97, R98, R99</t>
  </si>
  <si>
    <t>U1, U2, U3</t>
  </si>
  <si>
    <t>X1, X2, X3</t>
  </si>
  <si>
    <t>Description</t>
  </si>
  <si>
    <t>CAP CER 0.022UF 50V C0G/NP0 0805</t>
  </si>
  <si>
    <t>CAP CER 15PF 50V C0G/NPO 0603</t>
  </si>
  <si>
    <t>CAP CER 0.1UF 50V X7R 0603</t>
  </si>
  <si>
    <t>CAP CER 4.7UF 10V X7R 0603</t>
  </si>
  <si>
    <t>DIODE ARR GP 100V 215MA TO-236AB</t>
  </si>
  <si>
    <t>CONN HDR 24POS 0.1 GOLD PCB R/A</t>
  </si>
  <si>
    <t>Emerald 0603 Light Emitting Diodes (LED) ROHS</t>
  </si>
  <si>
    <t>RES SMD 0R, 1%, 0.1W, 0603</t>
  </si>
  <si>
    <t>RES SMD 1K OHM 1% 1/10W 0603</t>
  </si>
  <si>
    <t>RES 0.002 OHM 1% 3W 2512</t>
  </si>
  <si>
    <t>RES SMD 10K Ohm 1% 1/10W 0603</t>
  </si>
  <si>
    <t>RES SMD 680 OHM 1% 1/10W 0603</t>
  </si>
  <si>
    <t>IC AFE 7 CHAN 40LFCSP-WQ</t>
  </si>
  <si>
    <t>24.576MHz Surface Mount Crystal 12pF ±10ppm ±20ppm SMD3225-4P Crystals ROHS</t>
  </si>
  <si>
    <t>Footprint</t>
  </si>
  <si>
    <t>Cap-0805</t>
  </si>
  <si>
    <t>Cap-0603</t>
  </si>
  <si>
    <t>SOT-23</t>
  </si>
  <si>
    <t>SFH11-PBPC-D12-RA-BK</t>
  </si>
  <si>
    <t>LED-0603</t>
  </si>
  <si>
    <t>Res-0603</t>
  </si>
  <si>
    <t>RES-2512</t>
  </si>
  <si>
    <t>40-LFCSP-WQ (6x6)</t>
  </si>
  <si>
    <t>SMD3225-4P</t>
  </si>
  <si>
    <t>Manufacturer Part Number</t>
  </si>
  <si>
    <t>GRM21B5C1H223JA01L</t>
  </si>
  <si>
    <t>CC0603JRNPO9BN150</t>
  </si>
  <si>
    <t>GCJ188R71H104KA12D</t>
  </si>
  <si>
    <t>GRM188Z71A475KE15D</t>
  </si>
  <si>
    <t>BAV99,215</t>
  </si>
  <si>
    <t>NCD0603G2</t>
  </si>
  <si>
    <t>RC0603FR-070RL</t>
  </si>
  <si>
    <t>RC0603FR-071KL</t>
  </si>
  <si>
    <t>PA2512FKE7T0R002E</t>
  </si>
  <si>
    <t>RC0603FR-0710KL</t>
  </si>
  <si>
    <t>RC0603FR-07680RL</t>
  </si>
  <si>
    <t>ADE9000ACPZ</t>
  </si>
  <si>
    <t>X322524576MOB4SI</t>
  </si>
  <si>
    <t>Manufacturer</t>
  </si>
  <si>
    <t>Murata</t>
  </si>
  <si>
    <t>Yageo</t>
  </si>
  <si>
    <t>Nexperia</t>
  </si>
  <si>
    <t>Sullins</t>
  </si>
  <si>
    <t>Foshan NationStar Optoelectronics</t>
  </si>
  <si>
    <t>Analog Devices</t>
  </si>
  <si>
    <t>YXC</t>
  </si>
  <si>
    <t>22nF</t>
  </si>
  <si>
    <t>15pF</t>
  </si>
  <si>
    <t>0.1uF</t>
  </si>
  <si>
    <t>4.7uF</t>
  </si>
  <si>
    <t>0R</t>
  </si>
  <si>
    <t>1K</t>
  </si>
  <si>
    <t>2mR</t>
  </si>
  <si>
    <t>10K</t>
  </si>
  <si>
    <t>680R</t>
  </si>
  <si>
    <t>24.576MHz</t>
  </si>
  <si>
    <t>Quantity</t>
  </si>
  <si>
    <t>Remarks</t>
  </si>
  <si>
    <t>Value</t>
  </si>
  <si>
    <t>-</t>
  </si>
  <si>
    <t>Custom</t>
  </si>
  <si>
    <t>This Part Use As Peripheral</t>
  </si>
  <si>
    <t>DB2ERM-5.08-18P-GN</t>
  </si>
  <si>
    <t>DB2EKM-5.08-18P-GN-S</t>
  </si>
  <si>
    <t>320V 20A 18 Bend -40℃~+105℃ 1 5.08mm 1x18P Green Receptacle-Close Screw Fixing Push-Pull,P=5.08mm Pluggable System Terminal Block ROHS</t>
  </si>
  <si>
    <t>DORABO</t>
  </si>
  <si>
    <t>-40℃~+105℃ 2.5 1 14~28 5.08mm 320V 20A 18 1x18P Green Plug Screw Fixing P=5.08mm Pluggable System Terminal Block ROHS</t>
  </si>
  <si>
    <t>J3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</si>
</sst>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0"/>
      <color indexed="13"/>
      <name val="Arial"/>
      <family val="2"/>
    </font>
    <font>
      <b/>
      <sz val="10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  <scheme val="minor"/>
    </font>
    <font>
      <sz val="9"/>
      <color rgb="FFFF0000"/>
      <name val="Calibri"/>
      <family val="2"/>
      <scheme val="minor"/>
    </font>
    <font>
      <b/>
      <sz val="10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 tint="0.499984740745262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/>
    <xf numFmtId="0" fontId="1" fillId="2" borderId="1" xfId="0" applyFont="1" applyFill="1" applyBorder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3" fillId="3" borderId="5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3A4CB"/>
      <color rgb="FF2CD0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K18"/>
  <sheetViews>
    <sheetView tabSelected="1" workbookViewId="0">
      <selection activeCell="M11" sqref="M11"/>
    </sheetView>
  </sheetViews>
  <sheetFormatPr defaultRowHeight="15" x14ac:dyDescent="0.25"/>
  <cols>
    <col min="2" max="2" width="3.140625" style="4" customWidth="1"/>
    <col min="3" max="3" width="18.7109375" style="4" bestFit="1" customWidth="1"/>
    <col min="4" max="4" width="36" bestFit="1" customWidth="1"/>
    <col min="5" max="5" width="30" customWidth="1"/>
    <col min="6" max="6" width="14.85546875" bestFit="1" customWidth="1"/>
    <col min="7" max="7" width="25.28515625" bestFit="1" customWidth="1"/>
    <col min="8" max="8" width="21.42578125" bestFit="1" customWidth="1"/>
    <col min="9" max="9" width="9" bestFit="1" customWidth="1"/>
    <col min="10" max="10" width="8.7109375" bestFit="1" customWidth="1"/>
    <col min="11" max="11" width="12.7109375" customWidth="1"/>
    <col min="13" max="13" width="25.28515625" bestFit="1" customWidth="1"/>
  </cols>
  <sheetData>
    <row r="1" spans="1:11" ht="15.75" thickBot="1" x14ac:dyDescent="0.3">
      <c r="A1" s="1"/>
      <c r="B1" s="3"/>
      <c r="C1" s="3"/>
      <c r="D1" s="2"/>
      <c r="E1" s="2"/>
      <c r="F1" s="2"/>
      <c r="G1" s="2"/>
      <c r="H1" s="2"/>
      <c r="I1" s="18"/>
      <c r="J1" s="18"/>
      <c r="K1" s="18"/>
    </row>
    <row r="2" spans="1:11" ht="15.75" thickBot="1" x14ac:dyDescent="0.3">
      <c r="A2" s="1"/>
      <c r="B2" s="5" t="s">
        <v>0</v>
      </c>
      <c r="C2" s="5" t="s">
        <v>1</v>
      </c>
      <c r="D2" s="5" t="s">
        <v>12</v>
      </c>
      <c r="E2" s="6" t="s">
        <v>28</v>
      </c>
      <c r="F2" s="5" t="s">
        <v>43</v>
      </c>
      <c r="G2" s="6" t="s">
        <v>53</v>
      </c>
      <c r="H2" s="5" t="s">
        <v>67</v>
      </c>
      <c r="I2" s="6" t="s">
        <v>87</v>
      </c>
      <c r="J2" s="5" t="s">
        <v>85</v>
      </c>
      <c r="K2" s="5" t="s">
        <v>86</v>
      </c>
    </row>
    <row r="3" spans="1:11" ht="48.75" thickBot="1" x14ac:dyDescent="0.3">
      <c r="A3" s="1"/>
      <c r="B3" s="11">
        <f>ROW(B3) - ROW($B$2)</f>
        <v>1</v>
      </c>
      <c r="C3" s="12" t="s">
        <v>2</v>
      </c>
      <c r="D3" s="7" t="s">
        <v>13</v>
      </c>
      <c r="E3" s="8" t="s">
        <v>29</v>
      </c>
      <c r="F3" s="7" t="s">
        <v>44</v>
      </c>
      <c r="G3" s="8" t="s">
        <v>54</v>
      </c>
      <c r="H3" s="7" t="s">
        <v>68</v>
      </c>
      <c r="I3" s="8" t="s">
        <v>75</v>
      </c>
      <c r="J3" s="7">
        <v>36</v>
      </c>
      <c r="K3" s="7"/>
    </row>
    <row r="4" spans="1:11" ht="15.75" thickBot="1" x14ac:dyDescent="0.3">
      <c r="A4" s="1"/>
      <c r="B4" s="11">
        <f t="shared" ref="B4:B18" si="0">ROW(B4) - ROW($B$2)</f>
        <v>2</v>
      </c>
      <c r="C4" s="13" t="s">
        <v>3</v>
      </c>
      <c r="D4" s="9" t="s">
        <v>14</v>
      </c>
      <c r="E4" s="10" t="s">
        <v>30</v>
      </c>
      <c r="F4" s="9" t="s">
        <v>45</v>
      </c>
      <c r="G4" s="10" t="s">
        <v>55</v>
      </c>
      <c r="H4" s="9" t="s">
        <v>69</v>
      </c>
      <c r="I4" s="10" t="s">
        <v>76</v>
      </c>
      <c r="J4" s="9">
        <v>6</v>
      </c>
      <c r="K4" s="9"/>
    </row>
    <row r="5" spans="1:11" ht="24.75" thickBot="1" x14ac:dyDescent="0.3">
      <c r="A5" s="1"/>
      <c r="B5" s="11">
        <f>ROW(B5) - ROW($B$2)</f>
        <v>3</v>
      </c>
      <c r="C5" s="12" t="s">
        <v>2</v>
      </c>
      <c r="D5" s="7" t="s">
        <v>15</v>
      </c>
      <c r="E5" s="8" t="s">
        <v>31</v>
      </c>
      <c r="F5" s="7" t="s">
        <v>45</v>
      </c>
      <c r="G5" s="8" t="s">
        <v>56</v>
      </c>
      <c r="H5" s="7" t="s">
        <v>68</v>
      </c>
      <c r="I5" s="8" t="s">
        <v>77</v>
      </c>
      <c r="J5" s="7">
        <v>16</v>
      </c>
      <c r="K5" s="7"/>
    </row>
    <row r="6" spans="1:11" ht="24.75" thickBot="1" x14ac:dyDescent="0.3">
      <c r="A6" s="1"/>
      <c r="B6" s="11">
        <f t="shared" si="0"/>
        <v>4</v>
      </c>
      <c r="C6" s="13" t="s">
        <v>2</v>
      </c>
      <c r="D6" s="9" t="s">
        <v>16</v>
      </c>
      <c r="E6" s="10" t="s">
        <v>32</v>
      </c>
      <c r="F6" s="9" t="s">
        <v>45</v>
      </c>
      <c r="G6" s="10" t="s">
        <v>57</v>
      </c>
      <c r="H6" s="9" t="s">
        <v>68</v>
      </c>
      <c r="I6" s="10" t="s">
        <v>78</v>
      </c>
      <c r="J6" s="9">
        <v>13</v>
      </c>
      <c r="K6" s="9"/>
    </row>
    <row r="7" spans="1:11" ht="24.75" thickBot="1" x14ac:dyDescent="0.3">
      <c r="A7" s="1"/>
      <c r="B7" s="11">
        <f>ROW(B7) - ROW($B$2)</f>
        <v>5</v>
      </c>
      <c r="C7" s="12" t="s">
        <v>4</v>
      </c>
      <c r="D7" s="7" t="s">
        <v>17</v>
      </c>
      <c r="E7" s="8" t="s">
        <v>33</v>
      </c>
      <c r="F7" s="7" t="s">
        <v>46</v>
      </c>
      <c r="G7" s="8" t="s">
        <v>58</v>
      </c>
      <c r="H7" s="7" t="s">
        <v>70</v>
      </c>
      <c r="I7" s="8" t="s">
        <v>88</v>
      </c>
      <c r="J7" s="7">
        <v>18</v>
      </c>
      <c r="K7" s="7"/>
    </row>
    <row r="8" spans="1:11" ht="60.75" thickBot="1" x14ac:dyDescent="0.3">
      <c r="A8" s="1"/>
      <c r="B8" s="11">
        <f t="shared" si="0"/>
        <v>6</v>
      </c>
      <c r="C8" s="13" t="s">
        <v>5</v>
      </c>
      <c r="D8" s="9" t="s">
        <v>18</v>
      </c>
      <c r="E8" s="10" t="s">
        <v>93</v>
      </c>
      <c r="F8" s="9" t="s">
        <v>91</v>
      </c>
      <c r="G8" s="10" t="s">
        <v>91</v>
      </c>
      <c r="H8" s="9" t="s">
        <v>94</v>
      </c>
      <c r="I8" s="8" t="s">
        <v>88</v>
      </c>
      <c r="J8" s="9">
        <v>1</v>
      </c>
      <c r="K8" s="9"/>
    </row>
    <row r="9" spans="1:11" ht="15.75" thickBot="1" x14ac:dyDescent="0.3">
      <c r="A9" s="1"/>
      <c r="B9" s="11">
        <f>ROW(B9) - ROW($B$2)</f>
        <v>7</v>
      </c>
      <c r="C9" s="12" t="s">
        <v>6</v>
      </c>
      <c r="D9" s="7" t="s">
        <v>19</v>
      </c>
      <c r="E9" s="8" t="s">
        <v>34</v>
      </c>
      <c r="F9" s="9" t="s">
        <v>89</v>
      </c>
      <c r="G9" s="8" t="s">
        <v>47</v>
      </c>
      <c r="H9" s="7" t="s">
        <v>71</v>
      </c>
      <c r="I9" s="8" t="s">
        <v>88</v>
      </c>
      <c r="J9" s="7">
        <v>1</v>
      </c>
      <c r="K9" s="7"/>
    </row>
    <row r="10" spans="1:11" ht="48.75" thickBot="1" x14ac:dyDescent="0.3">
      <c r="A10" s="1"/>
      <c r="B10" s="11">
        <f t="shared" si="0"/>
        <v>8</v>
      </c>
      <c r="C10" s="13" t="s">
        <v>5</v>
      </c>
      <c r="D10" s="14" t="s">
        <v>96</v>
      </c>
      <c r="E10" s="16" t="s">
        <v>95</v>
      </c>
      <c r="F10" s="14" t="s">
        <v>89</v>
      </c>
      <c r="G10" s="16" t="s">
        <v>92</v>
      </c>
      <c r="H10" s="14" t="s">
        <v>94</v>
      </c>
      <c r="I10" s="17" t="s">
        <v>88</v>
      </c>
      <c r="J10" s="14">
        <v>1</v>
      </c>
      <c r="K10" s="15" t="s">
        <v>90</v>
      </c>
    </row>
    <row r="11" spans="1:11" ht="24.75" thickBot="1" x14ac:dyDescent="0.3">
      <c r="A11" s="1"/>
      <c r="B11" s="11">
        <f>ROW(B11) - ROW($B$2)</f>
        <v>9</v>
      </c>
      <c r="C11" s="12" t="s">
        <v>7</v>
      </c>
      <c r="D11" s="7" t="s">
        <v>20</v>
      </c>
      <c r="E11" s="8" t="s">
        <v>35</v>
      </c>
      <c r="F11" s="7" t="s">
        <v>48</v>
      </c>
      <c r="G11" s="8" t="s">
        <v>59</v>
      </c>
      <c r="H11" s="7" t="s">
        <v>72</v>
      </c>
      <c r="I11" s="8" t="s">
        <v>88</v>
      </c>
      <c r="J11" s="7">
        <v>12</v>
      </c>
      <c r="K11" s="7"/>
    </row>
    <row r="12" spans="1:11" ht="48.75" thickBot="1" x14ac:dyDescent="0.3">
      <c r="A12" s="1"/>
      <c r="B12" s="11">
        <f t="shared" si="0"/>
        <v>10</v>
      </c>
      <c r="C12" s="13" t="s">
        <v>8</v>
      </c>
      <c r="D12" s="9" t="s">
        <v>21</v>
      </c>
      <c r="E12" s="10" t="s">
        <v>36</v>
      </c>
      <c r="F12" s="9" t="s">
        <v>49</v>
      </c>
      <c r="G12" s="10" t="s">
        <v>60</v>
      </c>
      <c r="H12" s="9" t="s">
        <v>69</v>
      </c>
      <c r="I12" s="10" t="s">
        <v>79</v>
      </c>
      <c r="J12" s="9">
        <v>30</v>
      </c>
      <c r="K12" s="9"/>
    </row>
    <row r="13" spans="1:11" ht="24.75" thickBot="1" x14ac:dyDescent="0.3">
      <c r="A13" s="1"/>
      <c r="B13" s="11">
        <f>ROW(B13) - ROW($B$2)</f>
        <v>11</v>
      </c>
      <c r="C13" s="12" t="s">
        <v>8</v>
      </c>
      <c r="D13" s="7" t="s">
        <v>22</v>
      </c>
      <c r="E13" s="8" t="s">
        <v>37</v>
      </c>
      <c r="F13" s="7" t="s">
        <v>49</v>
      </c>
      <c r="G13" s="8" t="s">
        <v>61</v>
      </c>
      <c r="H13" s="7" t="s">
        <v>69</v>
      </c>
      <c r="I13" s="8" t="s">
        <v>80</v>
      </c>
      <c r="J13" s="7">
        <v>18</v>
      </c>
      <c r="K13" s="7"/>
    </row>
    <row r="14" spans="1:11" ht="24.75" thickBot="1" x14ac:dyDescent="0.3">
      <c r="A14" s="1"/>
      <c r="B14" s="11">
        <f t="shared" si="0"/>
        <v>12</v>
      </c>
      <c r="C14" s="13" t="s">
        <v>9</v>
      </c>
      <c r="D14" s="9" t="s">
        <v>23</v>
      </c>
      <c r="E14" s="10" t="s">
        <v>38</v>
      </c>
      <c r="F14" s="9" t="s">
        <v>50</v>
      </c>
      <c r="G14" s="10" t="s">
        <v>62</v>
      </c>
      <c r="H14" s="9" t="s">
        <v>69</v>
      </c>
      <c r="I14" s="10" t="s">
        <v>81</v>
      </c>
      <c r="J14" s="9">
        <v>18</v>
      </c>
      <c r="K14" s="9"/>
    </row>
    <row r="15" spans="1:11" ht="15.75" thickBot="1" x14ac:dyDescent="0.3">
      <c r="A15" s="1"/>
      <c r="B15" s="11">
        <f>ROW(B15) - ROW($B$2)</f>
        <v>13</v>
      </c>
      <c r="C15" s="12" t="s">
        <v>8</v>
      </c>
      <c r="D15" s="7" t="s">
        <v>24</v>
      </c>
      <c r="E15" s="8" t="s">
        <v>39</v>
      </c>
      <c r="F15" s="7" t="s">
        <v>49</v>
      </c>
      <c r="G15" s="8" t="s">
        <v>63</v>
      </c>
      <c r="H15" s="7" t="s">
        <v>69</v>
      </c>
      <c r="I15" s="8" t="s">
        <v>82</v>
      </c>
      <c r="J15" s="7">
        <v>3</v>
      </c>
      <c r="K15" s="7"/>
    </row>
    <row r="16" spans="1:11" ht="24.75" thickBot="1" x14ac:dyDescent="0.3">
      <c r="A16" s="1"/>
      <c r="B16" s="11">
        <f t="shared" si="0"/>
        <v>14</v>
      </c>
      <c r="C16" s="13" t="s">
        <v>8</v>
      </c>
      <c r="D16" s="9" t="s">
        <v>25</v>
      </c>
      <c r="E16" s="10" t="s">
        <v>40</v>
      </c>
      <c r="F16" s="9" t="s">
        <v>49</v>
      </c>
      <c r="G16" s="10" t="s">
        <v>64</v>
      </c>
      <c r="H16" s="9" t="s">
        <v>69</v>
      </c>
      <c r="I16" s="10" t="s">
        <v>83</v>
      </c>
      <c r="J16" s="9">
        <v>12</v>
      </c>
      <c r="K16" s="9"/>
    </row>
    <row r="17" spans="1:11" ht="15.75" thickBot="1" x14ac:dyDescent="0.3">
      <c r="A17" s="1"/>
      <c r="B17" s="11">
        <f>ROW(B17) - ROW($B$2)</f>
        <v>15</v>
      </c>
      <c r="C17" s="12" t="s">
        <v>10</v>
      </c>
      <c r="D17" s="7" t="s">
        <v>26</v>
      </c>
      <c r="E17" s="8" t="s">
        <v>41</v>
      </c>
      <c r="F17" s="7" t="s">
        <v>51</v>
      </c>
      <c r="G17" s="8" t="s">
        <v>65</v>
      </c>
      <c r="H17" s="7" t="s">
        <v>73</v>
      </c>
      <c r="I17" s="8" t="s">
        <v>88</v>
      </c>
      <c r="J17" s="7">
        <v>3</v>
      </c>
      <c r="K17" s="7"/>
    </row>
    <row r="18" spans="1:11" ht="36.75" thickBot="1" x14ac:dyDescent="0.3">
      <c r="A18" s="1"/>
      <c r="B18" s="11">
        <f t="shared" si="0"/>
        <v>16</v>
      </c>
      <c r="C18" s="13" t="s">
        <v>11</v>
      </c>
      <c r="D18" s="9" t="s">
        <v>27</v>
      </c>
      <c r="E18" s="10" t="s">
        <v>42</v>
      </c>
      <c r="F18" s="9" t="s">
        <v>52</v>
      </c>
      <c r="G18" s="10" t="s">
        <v>66</v>
      </c>
      <c r="H18" s="9" t="s">
        <v>74</v>
      </c>
      <c r="I18" s="10" t="s">
        <v>84</v>
      </c>
      <c r="J18" s="9">
        <v>3</v>
      </c>
      <c r="K18" s="9"/>
    </row>
  </sheetData>
  <mergeCells count="1">
    <mergeCell ref="I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Nymble 3</dc:creator>
  <cp:lastModifiedBy>Iftikhar Ahmed</cp:lastModifiedBy>
  <dcterms:created xsi:type="dcterms:W3CDTF">2019-12-12T10:34:26Z</dcterms:created>
  <dcterms:modified xsi:type="dcterms:W3CDTF">2025-03-27T10:41:09Z</dcterms:modified>
</cp:coreProperties>
</file>