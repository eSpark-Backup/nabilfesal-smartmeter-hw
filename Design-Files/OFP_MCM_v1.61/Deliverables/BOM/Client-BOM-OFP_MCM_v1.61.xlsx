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61\Deliverables\BOM\"/>
    </mc:Choice>
  </mc:AlternateContent>
  <xr:revisionPtr revIDLastSave="0" documentId="13_ncr:1_{FC3AAC01-2AA3-4777-BDF2-CC25C257692D}" xr6:coauthVersionLast="47" xr6:coauthVersionMax="47" xr10:uidLastSave="{00000000-0000-0000-0000-000000000000}"/>
  <bookViews>
    <workbookView xWindow="28680" yWindow="-120" windowWidth="24240" windowHeight="13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56" i="1" l="1"/>
  <c r="B155" i="1"/>
  <c r="B154" i="1"/>
  <c r="B153" i="1"/>
  <c r="B152" i="1"/>
  <c r="B151" i="1"/>
  <c r="B150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<sst xmlns="http://schemas.openxmlformats.org/spreadsheetml/2006/main" count="1122" uniqueCount="657">
  <si>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</si>
  <si>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</si>
  <si>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</si>
  <si>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</si>
  <si>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</si>
  <si>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</si>
  <si>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</si>
  <si>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</si>
  <si>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</si>
  <si>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</si>
  <si>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</si>
  <si>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C2, C5, C6</t>
  </si>
  <si>
    <t>CAP CER 15PF 50V C0G/NP0 0402</t>
  </si>
  <si>
    <t>Cap-0402</t>
  </si>
  <si>
    <t>GJM1555C1H150FB01D</t>
  </si>
  <si>
    <t>Murata</t>
  </si>
  <si>
    <t>15pF</t>
  </si>
  <si>
    <t>C3, C17, C22, C23, C34, C38, C42, C45, C87, C88</t>
  </si>
  <si>
    <t>CAP CER 1UF 6.3V X7R 0402</t>
  </si>
  <si>
    <t>GRM155R70J105KA12J</t>
  </si>
  <si>
    <t>1uF</t>
  </si>
  <si>
    <t>Capacitor</t>
  </si>
  <si>
    <t>C4, C11, C16, C20, C33, C37, C41, C57, C58, C93, C94</t>
  </si>
  <si>
    <t>CAP CER 10UF 10V X7R 0603</t>
  </si>
  <si>
    <t>Cap-0603</t>
  </si>
  <si>
    <t>GRM188Z71A106KA73D</t>
  </si>
  <si>
    <t>10uF</t>
  </si>
  <si>
    <t>C7, C12, C13, C14, C15, C18, C19, C24, C27, C28, C29, C30, C31, C35, C36, C39, C40, C43, C44, C46, C95, C97, C111, C114, C117, C120, C124, C127, C130, C133, C149, C150</t>
  </si>
  <si>
    <t>CAP CER 0.1UF 25V X7R 0402</t>
  </si>
  <si>
    <t>GRM155R71E104KE14D</t>
  </si>
  <si>
    <t>0.1uF</t>
  </si>
  <si>
    <t>Super Capaciitor</t>
  </si>
  <si>
    <t>C8</t>
  </si>
  <si>
    <t>0.47F -20%~+80% 5.5V</t>
  </si>
  <si>
    <t>Custom</t>
  </si>
  <si>
    <t>SC EB 5R5 474 M</t>
  </si>
  <si>
    <t>Wincap(Xingkai)</t>
  </si>
  <si>
    <t>0.47F</t>
  </si>
  <si>
    <t>C9, C49, C52, C53, C59, C75, C80, C83, C101, C106, C139, C140, C151</t>
  </si>
  <si>
    <t>CAP CER 0.1UF 50V X7R 0603</t>
  </si>
  <si>
    <t>GCJ188R71H104KA12D</t>
  </si>
  <si>
    <t>C10</t>
  </si>
  <si>
    <t>CAP CER 12PF 100V C0G/NP0 0603</t>
  </si>
  <si>
    <t>GCM1885C2A120JA16D</t>
  </si>
  <si>
    <t>12pF</t>
  </si>
  <si>
    <t>C21, C25</t>
  </si>
  <si>
    <t>CAP CER 4.7UF 16V X5R 0402</t>
  </si>
  <si>
    <t>CL05A475MO5NUNC</t>
  </si>
  <si>
    <t>Samsung</t>
  </si>
  <si>
    <t>4.7uF</t>
  </si>
  <si>
    <t>C26</t>
  </si>
  <si>
    <t>CAP CER 1000PF 50V C0G/NP0 0402</t>
  </si>
  <si>
    <t>GRM1555C1H102JA01D</t>
  </si>
  <si>
    <t>1nF</t>
  </si>
  <si>
    <t>C32, C112, C115, C118, C121, C125, C128, C131, C134</t>
  </si>
  <si>
    <t>CAP CER 10000PF 50V X7R 0402</t>
  </si>
  <si>
    <t>GCM155R71H103JA55D</t>
  </si>
  <si>
    <t>10nF</t>
  </si>
  <si>
    <t>C47, C48, C78, C79, C89, C90, C91, C92, C104, C153</t>
  </si>
  <si>
    <t>CAP CER 10UF 50V X7R 1210</t>
  </si>
  <si>
    <t>Cap-1210</t>
  </si>
  <si>
    <t>GRM32ER71H106KA12L</t>
  </si>
  <si>
    <t>C50, C51</t>
  </si>
  <si>
    <t>CAP CER 22UF 10V X7R 0805</t>
  </si>
  <si>
    <t>Cap-0805</t>
  </si>
  <si>
    <t>GRM21BZ71A226ME15L</t>
  </si>
  <si>
    <t>22uF</t>
  </si>
  <si>
    <t>C54, C65, C72</t>
  </si>
  <si>
    <t>CAP CER 0.047UF 50V X7R 0603</t>
  </si>
  <si>
    <t>GCJ188R71H473KA12D</t>
  </si>
  <si>
    <t>47nF</t>
  </si>
  <si>
    <t>C55</t>
  </si>
  <si>
    <t>CAP CER 82PF 50V C0G/NPO 0603</t>
  </si>
  <si>
    <t>CC0603JRNPO9BN820</t>
  </si>
  <si>
    <t>Yageo</t>
  </si>
  <si>
    <t>82pF</t>
  </si>
  <si>
    <t>C56</t>
  </si>
  <si>
    <t>CAP CER 0.033UF 50V X7R 0603</t>
  </si>
  <si>
    <t>GCJ188R71H333KA12D</t>
  </si>
  <si>
    <t>33nF</t>
  </si>
  <si>
    <t>C60, C61, C67, C68, C76, C77, C81, C82, C154, C155</t>
  </si>
  <si>
    <t>CAP CER 22UF 6.3V X7R 0805</t>
  </si>
  <si>
    <t>GRM21BZ70J226ME44L</t>
  </si>
  <si>
    <t>C62, C66, C69, C73, C85</t>
  </si>
  <si>
    <t>CAP CER 22PF 100V C0G/NP0 0603</t>
  </si>
  <si>
    <t>GCM1885C2A220JA16D</t>
  </si>
  <si>
    <t>22pF</t>
  </si>
  <si>
    <t>C63</t>
  </si>
  <si>
    <t>CAP CER 3300PF 50V C0G/NP0 0603</t>
  </si>
  <si>
    <t>GCM1885C1H332FA16D</t>
  </si>
  <si>
    <t>3.3nF</t>
  </si>
  <si>
    <t>C64, C98, C99</t>
  </si>
  <si>
    <t>CAP CER 1UF 50V X7R 0603</t>
  </si>
  <si>
    <t>CC0603KRX7R9BB105</t>
  </si>
  <si>
    <t>C70, C86</t>
  </si>
  <si>
    <t>CAP CER 2200PF 50V C0G/NP0 0603</t>
  </si>
  <si>
    <t>GRM1885C1H222JA01D</t>
  </si>
  <si>
    <t>2.2nF</t>
  </si>
  <si>
    <t>C71, C74, C84</t>
  </si>
  <si>
    <t>CAP CER 10000PF 50V C0G/NP0 0603</t>
  </si>
  <si>
    <t>GRM1885C1H103JA01D</t>
  </si>
  <si>
    <t>0.01uF</t>
  </si>
  <si>
    <t>C96</t>
  </si>
  <si>
    <t>CAP CER 2.2UF 16V X7R 0603</t>
  </si>
  <si>
    <t>CC0603KRX7R7BB225</t>
  </si>
  <si>
    <t>2.2uF</t>
  </si>
  <si>
    <t>C100, C105</t>
  </si>
  <si>
    <t>CAP TANT 100UF 20% 6V 1206</t>
  </si>
  <si>
    <t>Case-A</t>
  </si>
  <si>
    <t>T490A107M006ATE800</t>
  </si>
  <si>
    <t>KEMET</t>
  </si>
  <si>
    <t>100uF</t>
  </si>
  <si>
    <t>C102, C107</t>
  </si>
  <si>
    <t>CAP CER 33PF 100V C0G/NP0 0603</t>
  </si>
  <si>
    <t>GCM1885C2A330JA16D</t>
  </si>
  <si>
    <t>33pF</t>
  </si>
  <si>
    <t>C103, C108</t>
  </si>
  <si>
    <t>CAP CER 10PF 50V C0G/NPO 0603</t>
  </si>
  <si>
    <t>CC0603JRNPO9BN100</t>
  </si>
  <si>
    <t>10pF</t>
  </si>
  <si>
    <t>C109, C110</t>
  </si>
  <si>
    <t>CAP 30pF NP0 0603 50 V ±5 % SMD</t>
  </si>
  <si>
    <t>CC0603JRNPO9BN300</t>
  </si>
  <si>
    <t>30pF</t>
  </si>
  <si>
    <t>C113, C116, C119, C122, C126, C129, C132, C135</t>
  </si>
  <si>
    <t>CAP CER 1000PF 25V X7R 0402</t>
  </si>
  <si>
    <t>CC0402KRX7R8BB102</t>
  </si>
  <si>
    <t>C123</t>
  </si>
  <si>
    <t>CAP CER 1UF 25V X5R 0402</t>
  </si>
  <si>
    <t>CC0402KRX5R8BB105</t>
  </si>
  <si>
    <t>C136</t>
  </si>
  <si>
    <t>CAP CER 10UF 10V X5R 0402</t>
  </si>
  <si>
    <t>CC0402MRX5R6BB106</t>
  </si>
  <si>
    <t>C137, C138, C141, C142, C144, C145, C146</t>
  </si>
  <si>
    <t>CAP CER 33PF 25V C0G/NP0 0402</t>
  </si>
  <si>
    <t>GRM1555C1E330JA01D</t>
  </si>
  <si>
    <t>DNP</t>
  </si>
  <si>
    <t>DO NOT PLACE</t>
  </si>
  <si>
    <t>C143</t>
  </si>
  <si>
    <t>C152</t>
  </si>
  <si>
    <t>CAP CER 47UF 25V X5R 1206</t>
  </si>
  <si>
    <t>Cap-1206</t>
  </si>
  <si>
    <t>C3216X5R1E476M160AC</t>
  </si>
  <si>
    <t>TDK</t>
  </si>
  <si>
    <t>47uF</t>
  </si>
  <si>
    <t>C156</t>
  </si>
  <si>
    <t>CAP CER 22UF 25V X5R 0805</t>
  </si>
  <si>
    <t>CC0805MKX5R8BB226</t>
  </si>
  <si>
    <t>Kyocera AVX</t>
  </si>
  <si>
    <t>(TVS/ESD)</t>
  </si>
  <si>
    <t>D1, D2, D3, D4, D5, D6, D7, D8, D10</t>
  </si>
  <si>
    <t>5A 60W 12V 3.6V 3.3V SOD-523 ESD and Surge Protection (TVS/ESD) ROHS</t>
  </si>
  <si>
    <t>SOD-523 (Bi-Directional)</t>
  </si>
  <si>
    <t>ESD5Z3.3C</t>
  </si>
  <si>
    <t>MDD(Microdiode Semiconductor)</t>
  </si>
  <si>
    <t>-</t>
  </si>
  <si>
    <t>Diode</t>
  </si>
  <si>
    <t>D9</t>
  </si>
  <si>
    <t>DIODE GEN PURP 75V 200MA SOD523F</t>
  </si>
  <si>
    <t>SOD-523F</t>
  </si>
  <si>
    <t>1N4148WT</t>
  </si>
  <si>
    <t>ON Semiconductor / Fairchild</t>
  </si>
  <si>
    <t>D11</t>
  </si>
  <si>
    <t>DIODE SCHOTTKY 40V 1A SOD123</t>
  </si>
  <si>
    <t>SOD-123</t>
  </si>
  <si>
    <t>1N5819HW-7-F</t>
  </si>
  <si>
    <t>Diodes</t>
  </si>
  <si>
    <t>D12</t>
  </si>
  <si>
    <t>65.2A 9.2V 6.4V 5V Unidirectional SMB TVS ROHS</t>
  </si>
  <si>
    <t>SMB_</t>
  </si>
  <si>
    <t>SMBJ5.0A</t>
  </si>
  <si>
    <t>AnBon</t>
  </si>
  <si>
    <t>TVS Diode</t>
  </si>
  <si>
    <t>D13</t>
  </si>
  <si>
    <t>TVS DIODE 3.3VWM 11.5VC MICROSMP</t>
  </si>
  <si>
    <t>MicroSMP</t>
  </si>
  <si>
    <t>MSP3V3HM3/89A</t>
  </si>
  <si>
    <t>Vishay Semiconductors</t>
  </si>
  <si>
    <t>TVS Diodes</t>
  </si>
  <si>
    <t>D14</t>
  </si>
  <si>
    <t>Littelfuse</t>
  </si>
  <si>
    <t>D15, D16</t>
  </si>
  <si>
    <t>TVS DIODE 3.6VWM 19VC 2X1SON</t>
  </si>
  <si>
    <t>2-X1SON (1x.60)</t>
  </si>
  <si>
    <t>TPD1E0B04DPYR</t>
  </si>
  <si>
    <t>Texas Instruments</t>
  </si>
  <si>
    <t>D17, D18, D19</t>
  </si>
  <si>
    <t>TVS DIODE 3.3VWM 6.8VC SOD123F</t>
  </si>
  <si>
    <t>SOD-123FL</t>
  </si>
  <si>
    <t>SMF3.3</t>
  </si>
  <si>
    <t>Ferrite Bead</t>
  </si>
  <si>
    <t>FB1, FB2</t>
  </si>
  <si>
    <t>FERRITE BEAD 220 OHM 0603 1LN</t>
  </si>
  <si>
    <t>IND-0603 (1608 Metric)</t>
  </si>
  <si>
    <t>BLM18PG221SN1D</t>
  </si>
  <si>
    <t>Connector</t>
  </si>
  <si>
    <t>J1</t>
  </si>
  <si>
    <t>1.10mm Pitch microSD Memory Card Connector, Reverse Mount SMT, Push-Push Type</t>
  </si>
  <si>
    <t>Molex</t>
  </si>
  <si>
    <t>FFC/FPC Cable</t>
  </si>
  <si>
    <t>J2</t>
  </si>
  <si>
    <t>Flip type 10P Bottom Contact Horizontal attachment 0.5mm SMD,P=0.5mm FFC, FPC (Flat Flexible) Connector Assemblies ROHS</t>
  </si>
  <si>
    <t>HX0.5-10P XJH2.0 043</t>
  </si>
  <si>
    <t>hanxia</t>
  </si>
  <si>
    <t>USB Micro B</t>
  </si>
  <si>
    <t>J3</t>
  </si>
  <si>
    <t>1A USB 2.0 1 Direct Insert 5P Female Micro-B Plugin USB Connectors ROHS</t>
  </si>
  <si>
    <t>U-D-M5DD-Y-3</t>
  </si>
  <si>
    <t>HRO Electronics</t>
  </si>
  <si>
    <t>Card Edge Connectors</t>
  </si>
  <si>
    <t>J4</t>
  </si>
  <si>
    <t>CONN FFC BOTTOM 40POS 0.5MM R/A</t>
  </si>
  <si>
    <t>FH41-40S-0.5SH(05)</t>
  </si>
  <si>
    <t>Hirose</t>
  </si>
  <si>
    <t>RF / Coaxial Connectors</t>
  </si>
  <si>
    <t>J5, J6</t>
  </si>
  <si>
    <t>CONN U.FL RCPT STR 50 OHM SMD</t>
  </si>
  <si>
    <t>U.FL-R-SMT(10)</t>
  </si>
  <si>
    <t>J8</t>
  </si>
  <si>
    <t>Wire to Board Connector</t>
  </si>
  <si>
    <t>J10</t>
  </si>
  <si>
    <t>CONN HEADER VERT 8POS 2.5MM</t>
  </si>
  <si>
    <t>B8B-XH-A(LF)(SN)</t>
  </si>
  <si>
    <t>JST</t>
  </si>
  <si>
    <t>Inductors</t>
  </si>
  <si>
    <t>L1</t>
  </si>
  <si>
    <t>FIXED IND 6.8UH 4.5A 50.16 MOHM</t>
  </si>
  <si>
    <t>ETQ-P3M6R8KVN</t>
  </si>
  <si>
    <t>Panasonic</t>
  </si>
  <si>
    <t>6.8uH</t>
  </si>
  <si>
    <t>Inductor</t>
  </si>
  <si>
    <t>L2, L3, L4</t>
  </si>
  <si>
    <t>4.7uH</t>
  </si>
  <si>
    <t>L5</t>
  </si>
  <si>
    <t>FIXED IND 4.7UH 1.9A 84 MOHM SMD</t>
  </si>
  <si>
    <t>SRN4018-4R7M</t>
  </si>
  <si>
    <t>Bourns</t>
  </si>
  <si>
    <t>L6</t>
  </si>
  <si>
    <t>590mA 22uH ±20% SMD,4x4x1.8mm Power Inductors ROHS</t>
  </si>
  <si>
    <t>YNR4018-220M</t>
  </si>
  <si>
    <t>YJYCOIN</t>
  </si>
  <si>
    <t>22uH</t>
  </si>
  <si>
    <t>L7</t>
  </si>
  <si>
    <t>FIXED IND 47NH 400MA 0.7OHM SMD</t>
  </si>
  <si>
    <t>LQG18HH47NJ00D</t>
  </si>
  <si>
    <t>L8</t>
  </si>
  <si>
    <t>2.3A 3.9uH ±20% 3.3A SMD,4x4mm Power Inductors ROHS</t>
  </si>
  <si>
    <t>FNR4030S3R9MT</t>
  </si>
  <si>
    <t>cjiang</t>
  </si>
  <si>
    <t>3.9uH</t>
  </si>
  <si>
    <t>LED</t>
  </si>
  <si>
    <t>LED1</t>
  </si>
  <si>
    <t>D=5mm LED Indication - Discrete ROHS</t>
  </si>
  <si>
    <t>TH LED 5mm_</t>
  </si>
  <si>
    <t>DY-333SDRD-SN-A3(EL)(HF)</t>
  </si>
  <si>
    <t>TONYU</t>
  </si>
  <si>
    <t>LED2, LED3, LED4, LED5, LED8</t>
  </si>
  <si>
    <t>RED LED 0603 Light Emitting Diodes</t>
  </si>
  <si>
    <t>LED-0603</t>
  </si>
  <si>
    <t>NCD0603R3</t>
  </si>
  <si>
    <t>Foshan NationStar Optoelectronics</t>
  </si>
  <si>
    <t>LED6, LED11</t>
  </si>
  <si>
    <t>333-2 Series Yellow Green 5 x 5.9 x 8.6 mm 30° 80 mcd Diffused 2.4 V LED</t>
  </si>
  <si>
    <t>TH LED 5mm Green</t>
  </si>
  <si>
    <t>333-2SYGD/S530-E2-L</t>
  </si>
  <si>
    <t>Everlight</t>
  </si>
  <si>
    <t>LED7</t>
  </si>
  <si>
    <t>LED YELLOW DIFFUSED 5MM T/H</t>
  </si>
  <si>
    <t>TH LED 5mm Yellow</t>
  </si>
  <si>
    <t>333-2UYD/S530-A3-L</t>
  </si>
  <si>
    <t>LED10</t>
  </si>
  <si>
    <t>yellow 0603 Light Emitting Diodes (LED) ROHS</t>
  </si>
  <si>
    <t>NCD0603Y2</t>
  </si>
  <si>
    <t>Buzzers</t>
  </si>
  <si>
    <t>LS1</t>
  </si>
  <si>
    <t>80dB Passive (external drive) Electromagnetic Type 4kHz SMD,5x5mm Buzzers ROHS</t>
  </si>
  <si>
    <t>FUET-5025</t>
  </si>
  <si>
    <t>FUET</t>
  </si>
  <si>
    <t>Mosfet</t>
  </si>
  <si>
    <t>Q1</t>
  </si>
  <si>
    <t>TRANS NPN 40V 0.6A SMD SOT23-3</t>
  </si>
  <si>
    <t>SOT-23</t>
  </si>
  <si>
    <t>MMBT2222A-7-F</t>
  </si>
  <si>
    <t>Q2, Q3, Q4, Q5, Q6, Q7</t>
  </si>
  <si>
    <t>TRANS PREBIAS NPN 50V 0.1A EMT3</t>
  </si>
  <si>
    <t>SOT-416</t>
  </si>
  <si>
    <t>DTC143ZETL</t>
  </si>
  <si>
    <t>Rohm</t>
  </si>
  <si>
    <t>(BJT)</t>
  </si>
  <si>
    <t>Q8</t>
  </si>
  <si>
    <t>40V 200mW 100 200mA NPN SOT-23 Bipolar (BJT) ROHS</t>
  </si>
  <si>
    <t>MMBT3904</t>
  </si>
  <si>
    <t>ElecSuper</t>
  </si>
  <si>
    <t>Resistor</t>
  </si>
  <si>
    <t>R1, R2, R3, R4, R5, R6, R7</t>
  </si>
  <si>
    <t>RES 47K OHM 1% 1/16W 0402</t>
  </si>
  <si>
    <t>Res-0402</t>
  </si>
  <si>
    <t>RC0402FR-0747KL</t>
  </si>
  <si>
    <t>47K</t>
  </si>
  <si>
    <t>R8</t>
  </si>
  <si>
    <t>RES 3.3 OHM 1% 1/16W 0402</t>
  </si>
  <si>
    <t>RC0402FR-073R3L</t>
  </si>
  <si>
    <t>3.3R</t>
  </si>
  <si>
    <t>Resistors</t>
  </si>
  <si>
    <t>R9</t>
  </si>
  <si>
    <t>RES 5.6K OHM 1% 1/16W 0402</t>
  </si>
  <si>
    <t>RC0402FR-075K6L</t>
  </si>
  <si>
    <t>5.6K</t>
  </si>
  <si>
    <t>R10</t>
  </si>
  <si>
    <t>RES 10K OHM 1% 1/16W 0402</t>
  </si>
  <si>
    <t>RC0402FR-0710KL</t>
  </si>
  <si>
    <t>10K</t>
  </si>
  <si>
    <t>R11</t>
  </si>
  <si>
    <t>RES SMD 100K OHM 0.1% 1/16W 0402</t>
  </si>
  <si>
    <t>RT0402BRD07100KL</t>
  </si>
  <si>
    <t>100K</t>
  </si>
  <si>
    <t>R12</t>
  </si>
  <si>
    <t>RES 120 OHM 1% 1/10W 0603</t>
  </si>
  <si>
    <t>Res-0603</t>
  </si>
  <si>
    <t>RC0603FR-07120RL</t>
  </si>
  <si>
    <t>120R</t>
  </si>
  <si>
    <t>R13</t>
  </si>
  <si>
    <t>RES SMD 6.8K OHM 0.1% 1/16W 0402</t>
  </si>
  <si>
    <t>RT0402BRC076K8L</t>
  </si>
  <si>
    <t>6.8K</t>
  </si>
  <si>
    <t>R14</t>
  </si>
  <si>
    <t>RES SMD 8.2K OHM 0.1% 1/16W 0402</t>
  </si>
  <si>
    <t>RT0402BRD078K2L</t>
  </si>
  <si>
    <t>8.2K</t>
  </si>
  <si>
    <t>R15</t>
  </si>
  <si>
    <t>RES SMD 10K OHM 0.1% 1/16W 0402</t>
  </si>
  <si>
    <t>RT0402BRD0710KL</t>
  </si>
  <si>
    <t>R16</t>
  </si>
  <si>
    <t>RES SMD 11K OHM 0.1% 1/16W 0402</t>
  </si>
  <si>
    <t>RT0402BRE0711KL</t>
  </si>
  <si>
    <t>11K</t>
  </si>
  <si>
    <t>R17</t>
  </si>
  <si>
    <t>RES 1K OHM 1% 1/16W 0402</t>
  </si>
  <si>
    <t>RC0402FR-071KL</t>
  </si>
  <si>
    <t>1K</t>
  </si>
  <si>
    <t>RES 4.7K OHM 1% 1/16W 0402</t>
  </si>
  <si>
    <t>RC0402FR-074K7L</t>
  </si>
  <si>
    <t>4.7K</t>
  </si>
  <si>
    <t>R20</t>
  </si>
  <si>
    <t>RES 5.1K OHM 1% 1/10W 0603</t>
  </si>
  <si>
    <t>RC0603FR-075K1L</t>
  </si>
  <si>
    <t>5.1K</t>
  </si>
  <si>
    <t>R21, R22, R23, R24, R25, R26, R28, R32, R33, R34, R35, R36, R37, R38, R96, R101, R109, R117</t>
  </si>
  <si>
    <t>RES 0 OHM JUMPER 1/16W 0402</t>
  </si>
  <si>
    <t>RC0402FR-070RL</t>
  </si>
  <si>
    <t>0R</t>
  </si>
  <si>
    <t>R27, R29</t>
  </si>
  <si>
    <t>RES 2K OHM 1% 1/16W 0402</t>
  </si>
  <si>
    <t>RC0402FR-072KL</t>
  </si>
  <si>
    <t>2K</t>
  </si>
  <si>
    <t>R30</t>
  </si>
  <si>
    <t>RES 240 OHM 1% 1/16W 0402</t>
  </si>
  <si>
    <t>RC0402FR-07240RL</t>
  </si>
  <si>
    <t>240R</t>
  </si>
  <si>
    <t>R31</t>
  </si>
  <si>
    <t>RES 200K OHM 1% 1/16W 0402</t>
  </si>
  <si>
    <t>RC0402FR-07200KL</t>
  </si>
  <si>
    <t>200K</t>
  </si>
  <si>
    <t>RES SMD 0R, 1%, 0.1W, 0603</t>
  </si>
  <si>
    <t>RC0603FR-070RL</t>
  </si>
  <si>
    <t>R40</t>
  </si>
  <si>
    <t>RES SMD 536K OHM 0.1% 1/10W 0603</t>
  </si>
  <si>
    <t>RT0603BRD07536KL</t>
  </si>
  <si>
    <t>536K</t>
  </si>
  <si>
    <t>R41</t>
  </si>
  <si>
    <t>RES 49.9 OHM 1% 1/10W 0603</t>
  </si>
  <si>
    <t>RC0603FR-0749R9L</t>
  </si>
  <si>
    <t>49.9R</t>
  </si>
  <si>
    <t>R43</t>
  </si>
  <si>
    <t>RES SMD 107K OHM 0.1% 1/10W 0603</t>
  </si>
  <si>
    <t>RT0603BRD07107KL</t>
  </si>
  <si>
    <t>107K</t>
  </si>
  <si>
    <t>R44</t>
  </si>
  <si>
    <t>RES SMD 10.2KOHM 0.1% 1/10W 0603</t>
  </si>
  <si>
    <t>RT0603BRE0710K2L</t>
  </si>
  <si>
    <t>10.2K</t>
  </si>
  <si>
    <t>R46</t>
  </si>
  <si>
    <t>RES SMD 53.6KOHM 0.1% 1/10W 0603</t>
  </si>
  <si>
    <t>RT0603BRD0753K6L</t>
  </si>
  <si>
    <t>53.6K</t>
  </si>
  <si>
    <t>R47, R48, R54, R60, R63, R89, R100</t>
  </si>
  <si>
    <t>RES SMD 10K Ohm 1% 1/10W 0603</t>
  </si>
  <si>
    <t>RC0603FR-0710KL</t>
  </si>
  <si>
    <t>RES 20K OHM 1% 1/10W 0603</t>
  </si>
  <si>
    <t>RC0603FR-0720KL</t>
  </si>
  <si>
    <t>20K</t>
  </si>
  <si>
    <t>R50, R51, R70, R71, R72</t>
  </si>
  <si>
    <t>RES 100K OHM 1% 1/10W 0603</t>
  </si>
  <si>
    <t>RC0603FR-07100KL</t>
  </si>
  <si>
    <t>R53</t>
  </si>
  <si>
    <t>RES 45.3K OHM 1% 1/10W 0603</t>
  </si>
  <si>
    <t>RC0603FR-0745K3L</t>
  </si>
  <si>
    <t>45.3K</t>
  </si>
  <si>
    <t>R56, R65</t>
  </si>
  <si>
    <t>RES 30K OHM 1% 1/10W 0603</t>
  </si>
  <si>
    <t>30K</t>
  </si>
  <si>
    <t>R61</t>
  </si>
  <si>
    <t>RES SMD 51R 100mW 0603</t>
  </si>
  <si>
    <t>RC0603FR-0751RL</t>
  </si>
  <si>
    <t>51R</t>
  </si>
  <si>
    <t>R64</t>
  </si>
  <si>
    <t>RES SMD 73.2KOHM 0.1% 1/10W 0603</t>
  </si>
  <si>
    <t>RT0603BRD0773K2L</t>
  </si>
  <si>
    <t>73.2K</t>
  </si>
  <si>
    <t>R66</t>
  </si>
  <si>
    <t>RES 37.4K OHM 1% 1/10W 0603</t>
  </si>
  <si>
    <t>RC0603FR-0737K4L</t>
  </si>
  <si>
    <t>37.4K</t>
  </si>
  <si>
    <t>R67</t>
  </si>
  <si>
    <t>RES 1.87K OHM 1% 1/16W 0402</t>
  </si>
  <si>
    <t>RC0402FR-071K87L</t>
  </si>
  <si>
    <t>1.87K</t>
  </si>
  <si>
    <t>R68</t>
  </si>
  <si>
    <t>RES 4.99K OHM 1% 1/16W 0402</t>
  </si>
  <si>
    <t>RC0402FR-074K99L</t>
  </si>
  <si>
    <t>4.99K</t>
  </si>
  <si>
    <t>R69</t>
  </si>
  <si>
    <t>RES 140K OHM 1% 1/10W 0603</t>
  </si>
  <si>
    <t>RC0603FR-07140KL</t>
  </si>
  <si>
    <t>140K</t>
  </si>
  <si>
    <t>R74, R75, R76</t>
  </si>
  <si>
    <t>RES 51K OHM 1% 1/10W 0603</t>
  </si>
  <si>
    <t>RC0603FR-0751KL</t>
  </si>
  <si>
    <t>51K</t>
  </si>
  <si>
    <t>RES SMD 680 OHM 1% 1/10W 0603</t>
  </si>
  <si>
    <t>RC0603FR-07680RL</t>
  </si>
  <si>
    <t>680R</t>
  </si>
  <si>
    <t>RES 820 OHM 1% 1/10W 0603</t>
  </si>
  <si>
    <t>RC0603FR-07820RL</t>
  </si>
  <si>
    <t>820R</t>
  </si>
  <si>
    <t>R79</t>
  </si>
  <si>
    <t>RES 499 OHM 1% 1/10W 0603</t>
  </si>
  <si>
    <t>RC0603FR-07499RL</t>
  </si>
  <si>
    <t>499R</t>
  </si>
  <si>
    <t>R80</t>
  </si>
  <si>
    <t>RES SMD 100 OHM 1% 1/10W 0603</t>
  </si>
  <si>
    <t>RC0603FR-07100RL</t>
  </si>
  <si>
    <t>100R</t>
  </si>
  <si>
    <t>R85</t>
  </si>
  <si>
    <t>R86</t>
  </si>
  <si>
    <t>RES SMD 10 OHM 1% 1/10W 0603</t>
  </si>
  <si>
    <t>RC0603FR-0710RL</t>
  </si>
  <si>
    <t>10R</t>
  </si>
  <si>
    <t>R87</t>
  </si>
  <si>
    <t>63mW Thin Film Resistor ±50ppm/℃ ±0.1% 9.53kΩ 0402 Chip Resistor - Surface Mount ROHS</t>
  </si>
  <si>
    <t>RT0402BRE079K53L</t>
  </si>
  <si>
    <t>9.53K</t>
  </si>
  <si>
    <t>R88</t>
  </si>
  <si>
    <t>RES 90.9K OHM 1% 1/10W 0603</t>
  </si>
  <si>
    <t>RC0603FR-0790K9L</t>
  </si>
  <si>
    <t>90.9K</t>
  </si>
  <si>
    <t>R93</t>
  </si>
  <si>
    <t>RES SMD 1M OHM 1% 1/10W 0603</t>
  </si>
  <si>
    <t>RC0603FR-071ML</t>
  </si>
  <si>
    <t>1M</t>
  </si>
  <si>
    <t>R95</t>
  </si>
  <si>
    <t>RES SMD 1K OHM 1% 1/10W 0603</t>
  </si>
  <si>
    <t>RC0603FR-071KL</t>
  </si>
  <si>
    <t>R99</t>
  </si>
  <si>
    <t>R102</t>
  </si>
  <si>
    <t>RES 47K OHM 1% 1/10W 0603</t>
  </si>
  <si>
    <t>RC0603FR-0747KL</t>
  </si>
  <si>
    <t>R103</t>
  </si>
  <si>
    <t>R105, R106, R107, R108</t>
  </si>
  <si>
    <t>RES 22 OHM 1% 1/10W 0603</t>
  </si>
  <si>
    <t>RC0603FR-0722RL</t>
  </si>
  <si>
    <t>22R</t>
  </si>
  <si>
    <t>R111</t>
  </si>
  <si>
    <t>RES SMD 4.7K OHM 1% 1/10W 0603</t>
  </si>
  <si>
    <t>RC0603FR-074K7L</t>
  </si>
  <si>
    <t>R112</t>
  </si>
  <si>
    <t>R113</t>
  </si>
  <si>
    <t>R122</t>
  </si>
  <si>
    <t>RES SMD 10M Ohm 5% 1/16W 0402</t>
  </si>
  <si>
    <t>RC0402JR-0710ML</t>
  </si>
  <si>
    <t>10M</t>
  </si>
  <si>
    <t>Switches</t>
  </si>
  <si>
    <t>SW1</t>
  </si>
  <si>
    <t>SWITCH TACTILE SPST-NO 0.05A 24V</t>
  </si>
  <si>
    <t>FSM6JSMATR</t>
  </si>
  <si>
    <t>TE Connectivity Alcoswitch</t>
  </si>
  <si>
    <t>Tactile Switch</t>
  </si>
  <si>
    <t>SW2</t>
  </si>
  <si>
    <t>Without bracket 50mA 4mm 100000 Times 12V 160gf 3mm 2mm Round Button Standing paste SPST SMD Tactile Switches ROHS</t>
  </si>
  <si>
    <t>TS-1088-AR02016</t>
  </si>
  <si>
    <t>XUNPU</t>
  </si>
  <si>
    <t>SW3, SW4, SW5, SW6</t>
  </si>
  <si>
    <t>IC</t>
  </si>
  <si>
    <t>U1</t>
  </si>
  <si>
    <t>LQFP-128-EP(14x14) Microcontrollers (MCU/MPU/SOC) ROHS</t>
  </si>
  <si>
    <t>LQFP-128-EP(14x14)</t>
  </si>
  <si>
    <t>V3s</t>
  </si>
  <si>
    <t>Allwinner Tech</t>
  </si>
  <si>
    <t>U2</t>
  </si>
  <si>
    <t>IC FLASH 128MBIT SPI/QUAD 8WSON</t>
  </si>
  <si>
    <t>WSON-8-EP(6x8)</t>
  </si>
  <si>
    <t>W25Q128JVEIQ</t>
  </si>
  <si>
    <t>Winbond</t>
  </si>
  <si>
    <t>U3</t>
  </si>
  <si>
    <t>IC RTC CLOCK/CALENDAR I2C 8SO</t>
  </si>
  <si>
    <t>SOIC-8(0.154", 3.90mm Width)</t>
  </si>
  <si>
    <t>PCF8563T/5,518</t>
  </si>
  <si>
    <t>NXP Semiconductors</t>
  </si>
  <si>
    <t>U4</t>
  </si>
  <si>
    <t>2Mbps Transceiver USB 2.0 SOP-16 USB ICs ROHS</t>
  </si>
  <si>
    <t>SOP-16</t>
  </si>
  <si>
    <t>CH340C</t>
  </si>
  <si>
    <t>WCH</t>
  </si>
  <si>
    <t>U5</t>
  </si>
  <si>
    <t>IC REG BUCK ADJ 3A SOT583</t>
  </si>
  <si>
    <t>SOT-583</t>
  </si>
  <si>
    <t>TPS62933DRLR</t>
  </si>
  <si>
    <t>U6</t>
  </si>
  <si>
    <t>IC REG BCK ADJ 3A/2A TRPL 32VQFN</t>
  </si>
  <si>
    <t>32-QFN (5x5)</t>
  </si>
  <si>
    <t>TPS65261RHBR</t>
  </si>
  <si>
    <t>U7</t>
  </si>
  <si>
    <t>IC REG BUCK ADJ 3A SOT563</t>
  </si>
  <si>
    <t>SOT-563</t>
  </si>
  <si>
    <t>TPS563202DRLR</t>
  </si>
  <si>
    <t>U8</t>
  </si>
  <si>
    <t>IC REG LIN POS ADJ 1.5A 20VQFN</t>
  </si>
  <si>
    <t>20-VQFN (5x5)</t>
  </si>
  <si>
    <t>TPS74801RGWR</t>
  </si>
  <si>
    <t>U9</t>
  </si>
  <si>
    <t>IC REG LINEAR 3V 200MA SOT23</t>
  </si>
  <si>
    <t>XC6206P302MR-G</t>
  </si>
  <si>
    <t>Torex</t>
  </si>
  <si>
    <t>U10</t>
  </si>
  <si>
    <t>IC REG LINEAR 3.3V 1.5A SOT223-6</t>
  </si>
  <si>
    <t>SOT-223-6_</t>
  </si>
  <si>
    <t>TPS7A4533DCQR</t>
  </si>
  <si>
    <t>U11</t>
  </si>
  <si>
    <t>MSOP-10 Touch Screen Controllers ROHS</t>
  </si>
  <si>
    <t>10-MSOP</t>
  </si>
  <si>
    <t>NS2009</t>
  </si>
  <si>
    <t>Shenzhen Nsiway Tech</t>
  </si>
  <si>
    <t>U12</t>
  </si>
  <si>
    <t>IC LED DRVR RGLTR PWM 30MA 6WSON</t>
  </si>
  <si>
    <t>WSON-6-EP(2x2)</t>
  </si>
  <si>
    <t>TPS61158DRVR</t>
  </si>
  <si>
    <t>U13</t>
  </si>
  <si>
    <t>IC USB 2.0 2PORT HUB IND 48HTQFP</t>
  </si>
  <si>
    <t>48-HTQFP (7x7)</t>
  </si>
  <si>
    <t>TUSB4020BIPHPR</t>
  </si>
  <si>
    <t>U14</t>
  </si>
  <si>
    <t>RF TXRX MOD CELLULARCARD EDGE</t>
  </si>
  <si>
    <t>EC21EFA-512-STD</t>
  </si>
  <si>
    <t>Quectel Wireless Solutions</t>
  </si>
  <si>
    <t>U15</t>
  </si>
  <si>
    <t>IC TRANSLATOR BIDIR 20TSSOP</t>
  </si>
  <si>
    <t>TSSOP-20</t>
  </si>
  <si>
    <t>TXS0108EPWR</t>
  </si>
  <si>
    <t>U16</t>
  </si>
  <si>
    <t>IC XPND 400KHZ I2C SMBUS 16TSSOP</t>
  </si>
  <si>
    <t>TSSOP_16</t>
  </si>
  <si>
    <t>PCA9557PW,118</t>
  </si>
  <si>
    <t>U17</t>
  </si>
  <si>
    <t>6A 12V 150W 6V Unidirectional 5V SOT-23-6 ESD and Surge Protection (TVS/ESD) ROHS</t>
  </si>
  <si>
    <t>SOT-23-6</t>
  </si>
  <si>
    <t>USBLC6-2SC6</t>
  </si>
  <si>
    <t>TECH PUBLIC</t>
  </si>
  <si>
    <t>U18</t>
  </si>
  <si>
    <t>DG ISO 5KV 4CH CAN/RS232 16-SOIC</t>
  </si>
  <si>
    <t>SOIC-16-300mil</t>
  </si>
  <si>
    <t>ISO6742FDWR</t>
  </si>
  <si>
    <t>Module</t>
  </si>
  <si>
    <t>U19</t>
  </si>
  <si>
    <t>10W wide-voltage input, isolated and regulated single-channel/positive-negative dual-channel output DC/DC power supply module</t>
  </si>
  <si>
    <t>VRB1212S-10WR3</t>
  </si>
  <si>
    <t>YLPTEC</t>
  </si>
  <si>
    <t>U20</t>
  </si>
  <si>
    <t>IC REG BUCK 3.3V 2A TSOT26</t>
  </si>
  <si>
    <t>TSOT-23-6</t>
  </si>
  <si>
    <t>AP63203WU-7</t>
  </si>
  <si>
    <t>Crytal</t>
  </si>
  <si>
    <t>X1</t>
  </si>
  <si>
    <t>24MHz Surface Mount Crystal 12pF ±10ppm ±10ppm SMD3225-4P Crystals ROHS</t>
  </si>
  <si>
    <t>SMD3225-4P</t>
  </si>
  <si>
    <t>7M24000192</t>
  </si>
  <si>
    <t>TXC Corp</t>
  </si>
  <si>
    <t>24MHz</t>
  </si>
  <si>
    <t>Crystals</t>
  </si>
  <si>
    <t>X2, X3</t>
  </si>
  <si>
    <t>CRYSTAL 32.7680KHZ 12.5PF SMD</t>
  </si>
  <si>
    <t>SMD3215-2P</t>
  </si>
  <si>
    <t>CM315D32768DZFT</t>
  </si>
  <si>
    <t>Citizen</t>
  </si>
  <si>
    <t>32.768kHz</t>
  </si>
  <si>
    <t>Crystal</t>
  </si>
  <si>
    <t>X4</t>
  </si>
  <si>
    <t>24MHz Surface Mount Crystal 20pF ±10ppm ±20ppm SMD5032-4P Crystals ROHS</t>
  </si>
  <si>
    <t>SMD5032-4P</t>
  </si>
  <si>
    <t>X503224MSB4SI</t>
  </si>
  <si>
    <t>YXC</t>
  </si>
  <si>
    <t>Peripheral</t>
  </si>
  <si>
    <t>20cm IPEX to SMA 1Gen RF Cables ROHS</t>
  </si>
  <si>
    <t>BWIPX1-SMA-1.13L200</t>
  </si>
  <si>
    <t>BAT WIRELESS</t>
  </si>
  <si>
    <t xml:space="preserve">Storage products </t>
  </si>
  <si>
    <t>MKUS008G-IGT1A</t>
  </si>
  <si>
    <t>MK</t>
  </si>
  <si>
    <t>or any other industrial microSD card with 8GB of storage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</si>
  <si>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</si>
  <si>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</si>
  <si>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</si>
  <si>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</si>
  <si>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</si>
  <si>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</si>
  <si>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FPC延长板 焊好2个0.5mm间距40p翻盖FPC连接器 组装 QWY(CN) RoHs</t>
  </si>
  <si>
    <t>Moko Code: 12300000303070</t>
  </si>
  <si>
    <t>5 inch TFT LCD Display 800*480 RGB Interface LCD Touch Screen Panel</t>
  </si>
  <si>
    <t>RGB5001</t>
  </si>
  <si>
    <t>QDTFT</t>
  </si>
  <si>
    <t>Already Provided</t>
  </si>
  <si>
    <t>LED SPACER MOUNTS for T-1 and T-13/4</t>
  </si>
  <si>
    <t>Keystone</t>
  </si>
  <si>
    <t>TVS DIODE 13VWM 21.5VC DO-214AA</t>
  </si>
  <si>
    <t>SMBJ13A</t>
  </si>
  <si>
    <t>TS-1002S-13026C</t>
  </si>
  <si>
    <t>6mm 13mm Round Button 50mA Standing paste 6mm SPST 12V SMD,6x6mm Tactile Switches ROHS</t>
  </si>
  <si>
    <t>New Component added.</t>
  </si>
  <si>
    <t>Connector changed.</t>
  </si>
  <si>
    <t>C153 added.</t>
  </si>
  <si>
    <t>C151 added.</t>
  </si>
  <si>
    <t>C154, C155 added.</t>
  </si>
  <si>
    <t>C149, C150</t>
  </si>
  <si>
    <t>Part number updated. Switch height increased by 1mm.</t>
  </si>
  <si>
    <t>YSPI0518S-4R7M</t>
  </si>
  <si>
    <t>4.7uH Molded Inductor ±20% SMD,5.4x5.2mm Fixed Inductors ROHS</t>
  </si>
  <si>
    <t>Component changed</t>
  </si>
  <si>
    <t>R77, R81, R97, R98, R114, R120, R121</t>
  </si>
  <si>
    <t>R81 added.</t>
  </si>
  <si>
    <t>Q9</t>
  </si>
  <si>
    <t>AO3400A</t>
  </si>
  <si>
    <t>BORN</t>
  </si>
  <si>
    <t>30V 5.8A 32mΩ@10V,5.8A 1.4W 1.4V@250uA 1 N-Channel SOT-23 Single FETs, MOSFETs ROHS</t>
  </si>
  <si>
    <t>R39, R42, R52, R55, R57, R58, R84, R104, R118</t>
  </si>
  <si>
    <t>R18, R19, R82, R90, R91, R92, R94</t>
  </si>
  <si>
    <t>R82 changed</t>
  </si>
  <si>
    <t>R45, R110, R119</t>
  </si>
  <si>
    <t>R78, R83, R128</t>
  </si>
  <si>
    <t>R83, R128 added</t>
  </si>
  <si>
    <t>Solder Bridge</t>
  </si>
  <si>
    <t>SB1</t>
  </si>
  <si>
    <t>Do Not Connect</t>
  </si>
  <si>
    <t>C157, C158</t>
  </si>
  <si>
    <t>TPSD476K025R0150</t>
  </si>
  <si>
    <t>CASE-D-7343-31(mm)</t>
  </si>
  <si>
    <t>47uF 25V 150mΩ@100kHz ±10% CASE-D-7343-31(mm) Tantalum Capacitors ROHS</t>
  </si>
  <si>
    <t>R49, R59, R62, R73, R123, R124, R125, R126, R127</t>
  </si>
  <si>
    <t>R123, R124, R125, R126, R127 added.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</si>
</sst>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"/>
  <sheetViews>
    <sheetView tabSelected="1" topLeftCell="A71" workbookViewId="0">
      <selection activeCell="H90" sqref="H90"/>
    </sheetView>
  </sheetViews>
  <sheetFormatPr defaultColWidth="9" defaultRowHeight="14.4"/>
  <cols>
    <col min="2" max="2" width="4.5546875" style="1" customWidth="1"/>
    <col min="3" max="3" width="18.6640625" style="1" customWidth="1"/>
    <col min="4" max="4" width="36" customWidth="1"/>
    <col min="5" max="5" width="30" customWidth="1"/>
    <col min="6" max="6" width="23.109375" customWidth="1"/>
    <col min="7" max="7" width="27.33203125" customWidth="1"/>
    <col min="8" max="8" width="20.88671875" customWidth="1"/>
    <col min="9" max="9" width="8.109375" customWidth="1"/>
    <col min="10" max="10" width="9.33203125" customWidth="1"/>
    <col min="11" max="11" width="28.6640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34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spans="1:11">
      <c r="A4" s="2"/>
      <c r="B4" s="7">
        <f t="shared" si="0"/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10</v>
      </c>
      <c r="K4" s="12"/>
    </row>
    <row r="5" spans="1:11">
      <c r="A5" s="2"/>
      <c r="B5" s="7">
        <f t="shared" si="0"/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15</v>
      </c>
      <c r="I5" s="10" t="s">
        <v>26</v>
      </c>
      <c r="J5" s="9">
        <v>11</v>
      </c>
      <c r="K5" s="9"/>
    </row>
    <row r="6" spans="1:11" ht="48">
      <c r="A6" s="2"/>
      <c r="B6" s="7">
        <f t="shared" si="0"/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15</v>
      </c>
      <c r="I6" s="13" t="s">
        <v>30</v>
      </c>
      <c r="J6" s="12">
        <v>32</v>
      </c>
      <c r="K6" s="12" t="s">
        <v>631</v>
      </c>
    </row>
    <row r="7" spans="1:11">
      <c r="A7" s="2"/>
      <c r="B7" s="7">
        <f t="shared" si="0"/>
        <v>5</v>
      </c>
      <c r="C7" s="8" t="s">
        <v>31</v>
      </c>
      <c r="D7" s="9" t="s">
        <v>32</v>
      </c>
      <c r="E7" s="10" t="s">
        <v>33</v>
      </c>
      <c r="F7" s="9" t="s">
        <v>34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spans="1:11" ht="24">
      <c r="A8" s="2"/>
      <c r="B8" s="7">
        <f t="shared" si="0"/>
        <v>6</v>
      </c>
      <c r="C8" s="11" t="s">
        <v>10</v>
      </c>
      <c r="D8" s="12" t="s">
        <v>38</v>
      </c>
      <c r="E8" s="13" t="s">
        <v>39</v>
      </c>
      <c r="F8" s="12" t="s">
        <v>24</v>
      </c>
      <c r="G8" s="13" t="s">
        <v>40</v>
      </c>
      <c r="H8" s="12" t="s">
        <v>15</v>
      </c>
      <c r="I8" s="13" t="s">
        <v>30</v>
      </c>
      <c r="J8" s="12">
        <v>13</v>
      </c>
      <c r="K8" s="12" t="s">
        <v>629</v>
      </c>
    </row>
    <row r="9" spans="1:11">
      <c r="A9" s="2"/>
      <c r="B9" s="7">
        <f t="shared" si="0"/>
        <v>7</v>
      </c>
      <c r="C9" s="8" t="s">
        <v>21</v>
      </c>
      <c r="D9" s="9" t="s">
        <v>41</v>
      </c>
      <c r="E9" s="10" t="s">
        <v>42</v>
      </c>
      <c r="F9" s="9" t="s">
        <v>24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21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48</v>
      </c>
      <c r="I10" s="13" t="s">
        <v>49</v>
      </c>
      <c r="J10" s="12">
        <v>2</v>
      </c>
      <c r="K10" s="12"/>
    </row>
    <row r="11" spans="1:11">
      <c r="A11" s="2"/>
      <c r="B11" s="7">
        <f t="shared" si="0"/>
        <v>9</v>
      </c>
      <c r="C11" s="8" t="s">
        <v>21</v>
      </c>
      <c r="D11" s="9" t="s">
        <v>50</v>
      </c>
      <c r="E11" s="10" t="s">
        <v>51</v>
      </c>
      <c r="F11" s="9" t="s">
        <v>13</v>
      </c>
      <c r="G11" s="10" t="s">
        <v>52</v>
      </c>
      <c r="H11" s="9" t="s">
        <v>15</v>
      </c>
      <c r="I11" s="10" t="s">
        <v>53</v>
      </c>
      <c r="J11" s="9">
        <v>1</v>
      </c>
      <c r="K11" s="9"/>
    </row>
    <row r="12" spans="1:11" ht="24">
      <c r="A12" s="2"/>
      <c r="B12" s="7">
        <f t="shared" si="0"/>
        <v>10</v>
      </c>
      <c r="C12" s="8" t="s">
        <v>21</v>
      </c>
      <c r="D12" s="12" t="s">
        <v>54</v>
      </c>
      <c r="E12" s="13" t="s">
        <v>55</v>
      </c>
      <c r="F12" s="12" t="s">
        <v>13</v>
      </c>
      <c r="G12" s="13" t="s">
        <v>56</v>
      </c>
      <c r="H12" s="12" t="s">
        <v>15</v>
      </c>
      <c r="I12" s="13" t="s">
        <v>57</v>
      </c>
      <c r="J12" s="12">
        <v>9</v>
      </c>
      <c r="K12" s="12"/>
    </row>
    <row r="13" spans="1:11">
      <c r="A13" s="2"/>
      <c r="B13" s="7">
        <f t="shared" si="0"/>
        <v>11</v>
      </c>
      <c r="C13" s="8" t="s">
        <v>21</v>
      </c>
      <c r="D13" s="9" t="s">
        <v>58</v>
      </c>
      <c r="E13" s="10" t="s">
        <v>59</v>
      </c>
      <c r="F13" s="9" t="s">
        <v>60</v>
      </c>
      <c r="G13" s="10" t="s">
        <v>61</v>
      </c>
      <c r="H13" s="9" t="s">
        <v>15</v>
      </c>
      <c r="I13" s="10" t="s">
        <v>26</v>
      </c>
      <c r="J13" s="9">
        <v>10</v>
      </c>
      <c r="K13" s="9" t="s">
        <v>628</v>
      </c>
    </row>
    <row r="14" spans="1:11">
      <c r="A14" s="2"/>
      <c r="B14" s="7">
        <f t="shared" si="0"/>
        <v>12</v>
      </c>
      <c r="C14" s="8" t="s">
        <v>21</v>
      </c>
      <c r="D14" s="12" t="s">
        <v>62</v>
      </c>
      <c r="E14" s="13" t="s">
        <v>63</v>
      </c>
      <c r="F14" s="12" t="s">
        <v>64</v>
      </c>
      <c r="G14" s="13" t="s">
        <v>65</v>
      </c>
      <c r="H14" s="12" t="s">
        <v>15</v>
      </c>
      <c r="I14" s="13" t="s">
        <v>66</v>
      </c>
      <c r="J14" s="12">
        <v>2</v>
      </c>
      <c r="K14" s="12"/>
    </row>
    <row r="15" spans="1:11">
      <c r="A15" s="2"/>
      <c r="B15" s="7">
        <f t="shared" si="0"/>
        <v>13</v>
      </c>
      <c r="C15" s="8" t="s">
        <v>21</v>
      </c>
      <c r="D15" s="9" t="s">
        <v>67</v>
      </c>
      <c r="E15" s="10" t="s">
        <v>68</v>
      </c>
      <c r="F15" s="9" t="s">
        <v>24</v>
      </c>
      <c r="G15" s="10" t="s">
        <v>69</v>
      </c>
      <c r="H15" s="9" t="s">
        <v>15</v>
      </c>
      <c r="I15" s="10" t="s">
        <v>70</v>
      </c>
      <c r="J15" s="9">
        <v>3</v>
      </c>
      <c r="K15" s="9"/>
    </row>
    <row r="16" spans="1:11">
      <c r="A16" s="2"/>
      <c r="B16" s="7">
        <f t="shared" si="0"/>
        <v>14</v>
      </c>
      <c r="C16" s="8" t="s">
        <v>21</v>
      </c>
      <c r="D16" s="12" t="s">
        <v>71</v>
      </c>
      <c r="E16" s="13" t="s">
        <v>72</v>
      </c>
      <c r="F16" s="12" t="s">
        <v>24</v>
      </c>
      <c r="G16" s="13" t="s">
        <v>73</v>
      </c>
      <c r="H16" s="12" t="s">
        <v>74</v>
      </c>
      <c r="I16" s="13" t="s">
        <v>75</v>
      </c>
      <c r="J16" s="12">
        <v>1</v>
      </c>
      <c r="K16" s="12"/>
    </row>
    <row r="17" spans="1:11">
      <c r="A17" s="2"/>
      <c r="B17" s="7">
        <f t="shared" si="0"/>
        <v>15</v>
      </c>
      <c r="C17" s="8" t="s">
        <v>21</v>
      </c>
      <c r="D17" s="9" t="s">
        <v>76</v>
      </c>
      <c r="E17" s="10" t="s">
        <v>77</v>
      </c>
      <c r="F17" s="9" t="s">
        <v>24</v>
      </c>
      <c r="G17" s="10" t="s">
        <v>78</v>
      </c>
      <c r="H17" s="9" t="s">
        <v>15</v>
      </c>
      <c r="I17" s="10" t="s">
        <v>79</v>
      </c>
      <c r="J17" s="9">
        <v>1</v>
      </c>
      <c r="K17" s="9"/>
    </row>
    <row r="18" spans="1:11">
      <c r="A18" s="2"/>
      <c r="B18" s="7">
        <f t="shared" si="0"/>
        <v>16</v>
      </c>
      <c r="C18" s="8" t="s">
        <v>21</v>
      </c>
      <c r="D18" s="12" t="s">
        <v>80</v>
      </c>
      <c r="E18" s="13" t="s">
        <v>81</v>
      </c>
      <c r="F18" s="12" t="s">
        <v>64</v>
      </c>
      <c r="G18" s="13" t="s">
        <v>82</v>
      </c>
      <c r="H18" s="12" t="s">
        <v>15</v>
      </c>
      <c r="I18" s="13" t="s">
        <v>66</v>
      </c>
      <c r="J18" s="12">
        <v>10</v>
      </c>
      <c r="K18" s="12" t="s">
        <v>630</v>
      </c>
    </row>
    <row r="19" spans="1:11">
      <c r="A19" s="2"/>
      <c r="B19" s="7">
        <f t="shared" si="0"/>
        <v>17</v>
      </c>
      <c r="C19" s="8" t="s">
        <v>21</v>
      </c>
      <c r="D19" s="9" t="s">
        <v>83</v>
      </c>
      <c r="E19" s="10" t="s">
        <v>84</v>
      </c>
      <c r="F19" s="9" t="s">
        <v>24</v>
      </c>
      <c r="G19" s="10" t="s">
        <v>85</v>
      </c>
      <c r="H19" s="9" t="s">
        <v>15</v>
      </c>
      <c r="I19" s="10" t="s">
        <v>86</v>
      </c>
      <c r="J19" s="9">
        <v>5</v>
      </c>
      <c r="K19" s="9"/>
    </row>
    <row r="20" spans="1:11">
      <c r="A20" s="2"/>
      <c r="B20" s="7">
        <f t="shared" si="0"/>
        <v>18</v>
      </c>
      <c r="C20" s="8" t="s">
        <v>21</v>
      </c>
      <c r="D20" s="12" t="s">
        <v>87</v>
      </c>
      <c r="E20" s="13" t="s">
        <v>88</v>
      </c>
      <c r="F20" s="12" t="s">
        <v>24</v>
      </c>
      <c r="G20" s="13" t="s">
        <v>89</v>
      </c>
      <c r="H20" s="12" t="s">
        <v>15</v>
      </c>
      <c r="I20" s="13" t="s">
        <v>90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21</v>
      </c>
      <c r="D21" s="9" t="s">
        <v>91</v>
      </c>
      <c r="E21" s="10" t="s">
        <v>92</v>
      </c>
      <c r="F21" s="9" t="s">
        <v>24</v>
      </c>
      <c r="G21" s="10" t="s">
        <v>93</v>
      </c>
      <c r="H21" s="9" t="s">
        <v>74</v>
      </c>
      <c r="I21" s="10" t="s">
        <v>20</v>
      </c>
      <c r="J21" s="9">
        <v>3</v>
      </c>
      <c r="K21" s="9"/>
    </row>
    <row r="22" spans="1:11">
      <c r="A22" s="2"/>
      <c r="B22" s="7">
        <f t="shared" si="0"/>
        <v>20</v>
      </c>
      <c r="C22" s="8" t="s">
        <v>21</v>
      </c>
      <c r="D22" s="12" t="s">
        <v>94</v>
      </c>
      <c r="E22" s="13" t="s">
        <v>95</v>
      </c>
      <c r="F22" s="12" t="s">
        <v>24</v>
      </c>
      <c r="G22" s="13" t="s">
        <v>96</v>
      </c>
      <c r="H22" s="12" t="s">
        <v>15</v>
      </c>
      <c r="I22" s="13" t="s">
        <v>97</v>
      </c>
      <c r="J22" s="12">
        <v>2</v>
      </c>
      <c r="K22" s="12"/>
    </row>
    <row r="23" spans="1:11">
      <c r="A23" s="2"/>
      <c r="B23" s="7">
        <f t="shared" si="0"/>
        <v>21</v>
      </c>
      <c r="C23" s="8" t="s">
        <v>21</v>
      </c>
      <c r="D23" s="9" t="s">
        <v>98</v>
      </c>
      <c r="E23" s="10" t="s">
        <v>99</v>
      </c>
      <c r="F23" s="9" t="s">
        <v>24</v>
      </c>
      <c r="G23" s="10" t="s">
        <v>100</v>
      </c>
      <c r="H23" s="9" t="s">
        <v>15</v>
      </c>
      <c r="I23" s="10" t="s">
        <v>101</v>
      </c>
      <c r="J23" s="9">
        <v>3</v>
      </c>
      <c r="K23" s="9"/>
    </row>
    <row r="24" spans="1:11">
      <c r="A24" s="2"/>
      <c r="B24" s="7">
        <f t="shared" si="0"/>
        <v>22</v>
      </c>
      <c r="C24" s="8" t="s">
        <v>21</v>
      </c>
      <c r="D24" s="12" t="s">
        <v>102</v>
      </c>
      <c r="E24" s="13" t="s">
        <v>103</v>
      </c>
      <c r="F24" s="12" t="s">
        <v>24</v>
      </c>
      <c r="G24" s="13" t="s">
        <v>104</v>
      </c>
      <c r="H24" s="12" t="s">
        <v>74</v>
      </c>
      <c r="I24" s="13" t="s">
        <v>105</v>
      </c>
      <c r="J24" s="12">
        <v>1</v>
      </c>
      <c r="K24" s="12"/>
    </row>
    <row r="25" spans="1:11">
      <c r="A25" s="2"/>
      <c r="B25" s="7">
        <f t="shared" si="0"/>
        <v>23</v>
      </c>
      <c r="C25" s="8" t="s">
        <v>21</v>
      </c>
      <c r="D25" s="9" t="s">
        <v>106</v>
      </c>
      <c r="E25" s="10" t="s">
        <v>107</v>
      </c>
      <c r="F25" s="9" t="s">
        <v>108</v>
      </c>
      <c r="G25" s="10" t="s">
        <v>109</v>
      </c>
      <c r="H25" s="9" t="s">
        <v>110</v>
      </c>
      <c r="I25" s="10" t="s">
        <v>111</v>
      </c>
      <c r="J25" s="9">
        <v>2</v>
      </c>
      <c r="K25" s="9"/>
    </row>
    <row r="26" spans="1:11">
      <c r="A26" s="2"/>
      <c r="B26" s="7">
        <f t="shared" si="0"/>
        <v>24</v>
      </c>
      <c r="C26" s="8" t="s">
        <v>21</v>
      </c>
      <c r="D26" s="12" t="s">
        <v>112</v>
      </c>
      <c r="E26" s="13" t="s">
        <v>113</v>
      </c>
      <c r="F26" s="12" t="s">
        <v>24</v>
      </c>
      <c r="G26" s="13" t="s">
        <v>114</v>
      </c>
      <c r="H26" s="12" t="s">
        <v>15</v>
      </c>
      <c r="I26" s="13" t="s">
        <v>115</v>
      </c>
      <c r="J26" s="12">
        <v>2</v>
      </c>
      <c r="K26" s="12"/>
    </row>
    <row r="27" spans="1:11">
      <c r="A27" s="2"/>
      <c r="B27" s="7">
        <f t="shared" si="0"/>
        <v>25</v>
      </c>
      <c r="C27" s="8" t="s">
        <v>21</v>
      </c>
      <c r="D27" s="9" t="s">
        <v>116</v>
      </c>
      <c r="E27" s="10" t="s">
        <v>117</v>
      </c>
      <c r="F27" s="9" t="s">
        <v>24</v>
      </c>
      <c r="G27" s="10" t="s">
        <v>118</v>
      </c>
      <c r="H27" s="9" t="s">
        <v>74</v>
      </c>
      <c r="I27" s="10" t="s">
        <v>119</v>
      </c>
      <c r="J27" s="9">
        <v>2</v>
      </c>
      <c r="K27" s="9"/>
    </row>
    <row r="28" spans="1:11">
      <c r="A28" s="2"/>
      <c r="B28" s="7">
        <f t="shared" si="0"/>
        <v>26</v>
      </c>
      <c r="C28" s="8" t="s">
        <v>21</v>
      </c>
      <c r="D28" s="12" t="s">
        <v>120</v>
      </c>
      <c r="E28" s="13" t="s">
        <v>121</v>
      </c>
      <c r="F28" s="12" t="s">
        <v>24</v>
      </c>
      <c r="G28" s="13" t="s">
        <v>122</v>
      </c>
      <c r="H28" s="12" t="s">
        <v>74</v>
      </c>
      <c r="I28" s="13" t="s">
        <v>123</v>
      </c>
      <c r="J28" s="12">
        <v>2</v>
      </c>
      <c r="K28" s="12"/>
    </row>
    <row r="29" spans="1:11">
      <c r="A29" s="2"/>
      <c r="B29" s="7">
        <f t="shared" si="0"/>
        <v>27</v>
      </c>
      <c r="C29" s="8" t="s">
        <v>21</v>
      </c>
      <c r="D29" s="9" t="s">
        <v>124</v>
      </c>
      <c r="E29" s="10" t="s">
        <v>125</v>
      </c>
      <c r="F29" s="9" t="s">
        <v>13</v>
      </c>
      <c r="G29" s="10" t="s">
        <v>126</v>
      </c>
      <c r="H29" s="9" t="s">
        <v>74</v>
      </c>
      <c r="I29" s="10" t="s">
        <v>53</v>
      </c>
      <c r="J29" s="9">
        <v>8</v>
      </c>
      <c r="K29" s="9"/>
    </row>
    <row r="30" spans="1:11">
      <c r="A30" s="2"/>
      <c r="B30" s="7">
        <f t="shared" si="0"/>
        <v>28</v>
      </c>
      <c r="C30" s="8" t="s">
        <v>21</v>
      </c>
      <c r="D30" s="12" t="s">
        <v>127</v>
      </c>
      <c r="E30" s="13" t="s">
        <v>128</v>
      </c>
      <c r="F30" s="12" t="s">
        <v>13</v>
      </c>
      <c r="G30" s="13" t="s">
        <v>129</v>
      </c>
      <c r="H30" s="12" t="s">
        <v>74</v>
      </c>
      <c r="I30" s="13" t="s">
        <v>20</v>
      </c>
      <c r="J30" s="12">
        <v>1</v>
      </c>
      <c r="K30" s="12"/>
    </row>
    <row r="31" spans="1:11">
      <c r="A31" s="2"/>
      <c r="B31" s="7">
        <f t="shared" si="0"/>
        <v>29</v>
      </c>
      <c r="C31" s="8" t="s">
        <v>21</v>
      </c>
      <c r="D31" s="9" t="s">
        <v>130</v>
      </c>
      <c r="E31" s="10" t="s">
        <v>131</v>
      </c>
      <c r="F31" s="9" t="s">
        <v>13</v>
      </c>
      <c r="G31" s="10" t="s">
        <v>132</v>
      </c>
      <c r="H31" s="9" t="s">
        <v>74</v>
      </c>
      <c r="I31" s="10" t="s">
        <v>26</v>
      </c>
      <c r="J31" s="9">
        <v>1</v>
      </c>
      <c r="K31" s="9"/>
    </row>
    <row r="32" spans="1:11">
      <c r="A32" s="2"/>
      <c r="B32" s="7">
        <f t="shared" si="0"/>
        <v>30</v>
      </c>
      <c r="C32" s="8" t="s">
        <v>21</v>
      </c>
      <c r="D32" s="14" t="s">
        <v>133</v>
      </c>
      <c r="E32" s="15" t="s">
        <v>134</v>
      </c>
      <c r="F32" s="14" t="s">
        <v>13</v>
      </c>
      <c r="G32" s="15" t="s">
        <v>135</v>
      </c>
      <c r="H32" s="14" t="s">
        <v>15</v>
      </c>
      <c r="I32" s="15" t="s">
        <v>136</v>
      </c>
      <c r="J32" s="14">
        <v>7</v>
      </c>
      <c r="K32" s="16" t="s">
        <v>137</v>
      </c>
    </row>
    <row r="33" spans="1:11">
      <c r="A33" s="2"/>
      <c r="B33" s="7">
        <f t="shared" si="0"/>
        <v>31</v>
      </c>
      <c r="C33" s="8" t="s">
        <v>21</v>
      </c>
      <c r="D33" s="14" t="s">
        <v>138</v>
      </c>
      <c r="E33" s="15" t="s">
        <v>39</v>
      </c>
      <c r="F33" s="14" t="s">
        <v>24</v>
      </c>
      <c r="G33" s="15" t="s">
        <v>40</v>
      </c>
      <c r="H33" s="14" t="s">
        <v>15</v>
      </c>
      <c r="I33" s="15" t="s">
        <v>136</v>
      </c>
      <c r="J33" s="14">
        <v>1</v>
      </c>
      <c r="K33" s="16" t="s">
        <v>137</v>
      </c>
    </row>
    <row r="34" spans="1:11">
      <c r="A34" s="2"/>
      <c r="B34" s="7">
        <f t="shared" si="0"/>
        <v>32</v>
      </c>
      <c r="C34" s="8" t="s">
        <v>21</v>
      </c>
      <c r="D34" s="12" t="s">
        <v>139</v>
      </c>
      <c r="E34" s="13" t="s">
        <v>140</v>
      </c>
      <c r="F34" s="12" t="s">
        <v>141</v>
      </c>
      <c r="G34" s="13" t="s">
        <v>142</v>
      </c>
      <c r="H34" s="12" t="s">
        <v>143</v>
      </c>
      <c r="I34" s="13" t="s">
        <v>144</v>
      </c>
      <c r="J34" s="12">
        <v>1</v>
      </c>
      <c r="K34" s="12" t="s">
        <v>626</v>
      </c>
    </row>
    <row r="35" spans="1:11">
      <c r="A35" s="2"/>
      <c r="B35" s="7">
        <f t="shared" ref="B35:B66" si="1">ROW(B35)-ROW($B$2)</f>
        <v>33</v>
      </c>
      <c r="C35" s="8" t="s">
        <v>21</v>
      </c>
      <c r="D35" s="9" t="s">
        <v>145</v>
      </c>
      <c r="E35" s="10" t="s">
        <v>146</v>
      </c>
      <c r="F35" s="9" t="s">
        <v>64</v>
      </c>
      <c r="G35" s="10" t="s">
        <v>147</v>
      </c>
      <c r="H35" s="9" t="s">
        <v>74</v>
      </c>
      <c r="I35" s="10" t="s">
        <v>66</v>
      </c>
      <c r="J35" s="9">
        <v>1</v>
      </c>
      <c r="K35" s="9" t="s">
        <v>626</v>
      </c>
    </row>
    <row r="36" spans="1:11" ht="24">
      <c r="A36" s="2"/>
      <c r="B36" s="7">
        <f t="shared" si="1"/>
        <v>34</v>
      </c>
      <c r="C36" s="8" t="s">
        <v>21</v>
      </c>
      <c r="D36" s="12" t="s">
        <v>651</v>
      </c>
      <c r="E36" s="13" t="s">
        <v>654</v>
      </c>
      <c r="F36" s="12" t="s">
        <v>653</v>
      </c>
      <c r="G36" s="13" t="s">
        <v>652</v>
      </c>
      <c r="H36" s="12" t="s">
        <v>148</v>
      </c>
      <c r="I36" s="13" t="s">
        <v>144</v>
      </c>
      <c r="J36" s="12">
        <v>2</v>
      </c>
      <c r="K36" s="12" t="s">
        <v>626</v>
      </c>
    </row>
    <row r="37" spans="1:11" ht="24">
      <c r="A37" s="2"/>
      <c r="B37" s="7">
        <f t="shared" si="1"/>
        <v>35</v>
      </c>
      <c r="C37" s="8" t="s">
        <v>149</v>
      </c>
      <c r="D37" s="9" t="s">
        <v>150</v>
      </c>
      <c r="E37" s="10" t="s">
        <v>151</v>
      </c>
      <c r="F37" s="9" t="s">
        <v>152</v>
      </c>
      <c r="G37" s="10" t="s">
        <v>153</v>
      </c>
      <c r="H37" s="9" t="s">
        <v>154</v>
      </c>
      <c r="I37" s="10" t="s">
        <v>155</v>
      </c>
      <c r="J37" s="9">
        <v>9</v>
      </c>
      <c r="K37" s="9"/>
    </row>
    <row r="38" spans="1:11" ht="24">
      <c r="A38" s="2"/>
      <c r="B38" s="7">
        <f t="shared" si="1"/>
        <v>36</v>
      </c>
      <c r="C38" s="11" t="s">
        <v>156</v>
      </c>
      <c r="D38" s="12" t="s">
        <v>157</v>
      </c>
      <c r="E38" s="13" t="s">
        <v>158</v>
      </c>
      <c r="F38" s="12" t="s">
        <v>159</v>
      </c>
      <c r="G38" s="13" t="s">
        <v>160</v>
      </c>
      <c r="H38" s="12" t="s">
        <v>161</v>
      </c>
      <c r="I38" s="10" t="s">
        <v>155</v>
      </c>
      <c r="J38" s="12">
        <v>1</v>
      </c>
      <c r="K38" s="12"/>
    </row>
    <row r="39" spans="1:11">
      <c r="A39" s="2"/>
      <c r="B39" s="7">
        <f t="shared" si="1"/>
        <v>37</v>
      </c>
      <c r="C39" s="8" t="s">
        <v>156</v>
      </c>
      <c r="D39" s="14" t="s">
        <v>162</v>
      </c>
      <c r="E39" s="15" t="s">
        <v>163</v>
      </c>
      <c r="F39" s="14" t="s">
        <v>164</v>
      </c>
      <c r="G39" s="15" t="s">
        <v>165</v>
      </c>
      <c r="H39" s="14" t="s">
        <v>166</v>
      </c>
      <c r="I39" s="15" t="s">
        <v>136</v>
      </c>
      <c r="J39" s="14">
        <v>1</v>
      </c>
      <c r="K39" s="16" t="s">
        <v>137</v>
      </c>
    </row>
    <row r="40" spans="1:11" ht="24">
      <c r="A40" s="2"/>
      <c r="B40" s="7">
        <f t="shared" si="1"/>
        <v>38</v>
      </c>
      <c r="C40" s="11" t="s">
        <v>156</v>
      </c>
      <c r="D40" s="12" t="s">
        <v>167</v>
      </c>
      <c r="E40" s="13" t="s">
        <v>168</v>
      </c>
      <c r="F40" s="12" t="s">
        <v>169</v>
      </c>
      <c r="G40" s="13" t="s">
        <v>170</v>
      </c>
      <c r="H40" s="12" t="s">
        <v>171</v>
      </c>
      <c r="I40" s="13" t="s">
        <v>155</v>
      </c>
      <c r="J40" s="12">
        <v>1</v>
      </c>
      <c r="K40" s="12" t="s">
        <v>626</v>
      </c>
    </row>
    <row r="41" spans="1:11">
      <c r="A41" s="2"/>
      <c r="B41" s="7">
        <f t="shared" si="1"/>
        <v>39</v>
      </c>
      <c r="C41" s="8" t="s">
        <v>172</v>
      </c>
      <c r="D41" s="9" t="s">
        <v>173</v>
      </c>
      <c r="E41" s="10" t="s">
        <v>174</v>
      </c>
      <c r="F41" s="9" t="s">
        <v>175</v>
      </c>
      <c r="G41" s="10" t="s">
        <v>176</v>
      </c>
      <c r="H41" s="9" t="s">
        <v>177</v>
      </c>
      <c r="I41" s="13" t="s">
        <v>155</v>
      </c>
      <c r="J41" s="9">
        <v>1</v>
      </c>
      <c r="K41" s="9" t="s">
        <v>626</v>
      </c>
    </row>
    <row r="42" spans="1:11">
      <c r="A42" s="2"/>
      <c r="B42" s="7">
        <f t="shared" si="1"/>
        <v>40</v>
      </c>
      <c r="C42" s="11" t="s">
        <v>178</v>
      </c>
      <c r="D42" s="12" t="s">
        <v>179</v>
      </c>
      <c r="E42" s="13" t="s">
        <v>622</v>
      </c>
      <c r="F42" s="12" t="s">
        <v>169</v>
      </c>
      <c r="G42" s="13" t="s">
        <v>623</v>
      </c>
      <c r="H42" s="12" t="s">
        <v>180</v>
      </c>
      <c r="I42" s="13" t="s">
        <v>155</v>
      </c>
      <c r="J42" s="12">
        <v>1</v>
      </c>
      <c r="K42" s="12" t="s">
        <v>626</v>
      </c>
    </row>
    <row r="43" spans="1:11">
      <c r="A43" s="2"/>
      <c r="B43" s="7">
        <f t="shared" si="1"/>
        <v>41</v>
      </c>
      <c r="C43" s="11" t="s">
        <v>178</v>
      </c>
      <c r="D43" s="9" t="s">
        <v>181</v>
      </c>
      <c r="E43" s="10" t="s">
        <v>182</v>
      </c>
      <c r="F43" s="9" t="s">
        <v>183</v>
      </c>
      <c r="G43" s="10" t="s">
        <v>184</v>
      </c>
      <c r="H43" s="9" t="s">
        <v>185</v>
      </c>
      <c r="I43" s="13" t="s">
        <v>155</v>
      </c>
      <c r="J43" s="9">
        <v>2</v>
      </c>
      <c r="K43" s="9" t="s">
        <v>626</v>
      </c>
    </row>
    <row r="44" spans="1:11">
      <c r="A44" s="2"/>
      <c r="B44" s="7">
        <f t="shared" si="1"/>
        <v>42</v>
      </c>
      <c r="C44" s="11" t="s">
        <v>178</v>
      </c>
      <c r="D44" s="12" t="s">
        <v>186</v>
      </c>
      <c r="E44" s="13" t="s">
        <v>187</v>
      </c>
      <c r="F44" s="12" t="s">
        <v>188</v>
      </c>
      <c r="G44" s="13" t="s">
        <v>189</v>
      </c>
      <c r="H44" s="12" t="s">
        <v>180</v>
      </c>
      <c r="I44" s="13" t="s">
        <v>155</v>
      </c>
      <c r="J44" s="12">
        <v>3</v>
      </c>
      <c r="K44" s="12" t="s">
        <v>626</v>
      </c>
    </row>
    <row r="45" spans="1:11">
      <c r="A45" s="2"/>
      <c r="B45" s="7">
        <f t="shared" si="1"/>
        <v>43</v>
      </c>
      <c r="C45" s="8" t="s">
        <v>190</v>
      </c>
      <c r="D45" s="9" t="s">
        <v>191</v>
      </c>
      <c r="E45" s="10" t="s">
        <v>192</v>
      </c>
      <c r="F45" s="9" t="s">
        <v>193</v>
      </c>
      <c r="G45" s="10" t="s">
        <v>194</v>
      </c>
      <c r="H45" s="9" t="s">
        <v>15</v>
      </c>
      <c r="I45" s="13" t="s">
        <v>155</v>
      </c>
      <c r="J45" s="9">
        <v>2</v>
      </c>
      <c r="K45" s="9"/>
    </row>
    <row r="46" spans="1:11" ht="36">
      <c r="A46" s="2"/>
      <c r="B46" s="7">
        <f t="shared" si="1"/>
        <v>44</v>
      </c>
      <c r="C46" s="11" t="s">
        <v>195</v>
      </c>
      <c r="D46" s="12" t="s">
        <v>196</v>
      </c>
      <c r="E46" s="13" t="s">
        <v>197</v>
      </c>
      <c r="F46" s="9" t="s">
        <v>34</v>
      </c>
      <c r="G46" s="13">
        <v>5027740891</v>
      </c>
      <c r="H46" s="12" t="s">
        <v>198</v>
      </c>
      <c r="I46" s="13" t="s">
        <v>155</v>
      </c>
      <c r="J46" s="12">
        <v>1</v>
      </c>
      <c r="K46" s="12"/>
    </row>
    <row r="47" spans="1:11" ht="48">
      <c r="A47" s="2"/>
      <c r="B47" s="7">
        <f t="shared" si="1"/>
        <v>45</v>
      </c>
      <c r="C47" s="8" t="s">
        <v>199</v>
      </c>
      <c r="D47" s="9" t="s">
        <v>200</v>
      </c>
      <c r="E47" s="10" t="s">
        <v>201</v>
      </c>
      <c r="F47" s="9" t="s">
        <v>34</v>
      </c>
      <c r="G47" s="10" t="s">
        <v>202</v>
      </c>
      <c r="H47" s="9" t="s">
        <v>203</v>
      </c>
      <c r="I47" s="13" t="s">
        <v>155</v>
      </c>
      <c r="J47" s="9">
        <v>1</v>
      </c>
      <c r="K47" s="9"/>
    </row>
    <row r="48" spans="1:11" ht="24">
      <c r="A48" s="2"/>
      <c r="B48" s="7">
        <f t="shared" si="1"/>
        <v>46</v>
      </c>
      <c r="C48" s="11" t="s">
        <v>204</v>
      </c>
      <c r="D48" s="12" t="s">
        <v>205</v>
      </c>
      <c r="E48" s="13" t="s">
        <v>206</v>
      </c>
      <c r="F48" s="9" t="s">
        <v>34</v>
      </c>
      <c r="G48" s="13" t="s">
        <v>207</v>
      </c>
      <c r="H48" s="12" t="s">
        <v>208</v>
      </c>
      <c r="I48" s="13" t="s">
        <v>155</v>
      </c>
      <c r="J48" s="12">
        <v>1</v>
      </c>
      <c r="K48" s="12"/>
    </row>
    <row r="49" spans="1:11">
      <c r="A49" s="2"/>
      <c r="B49" s="7">
        <f t="shared" si="1"/>
        <v>47</v>
      </c>
      <c r="C49" s="8" t="s">
        <v>209</v>
      </c>
      <c r="D49" s="9" t="s">
        <v>210</v>
      </c>
      <c r="E49" s="10" t="s">
        <v>211</v>
      </c>
      <c r="F49" s="9" t="s">
        <v>34</v>
      </c>
      <c r="G49" s="10" t="s">
        <v>212</v>
      </c>
      <c r="H49" s="9" t="s">
        <v>213</v>
      </c>
      <c r="I49" s="13" t="s">
        <v>155</v>
      </c>
      <c r="J49" s="9">
        <v>1</v>
      </c>
      <c r="K49" s="9" t="s">
        <v>627</v>
      </c>
    </row>
    <row r="50" spans="1:11" ht="27.6">
      <c r="A50" s="2"/>
      <c r="B50" s="7">
        <f t="shared" si="1"/>
        <v>48</v>
      </c>
      <c r="C50" s="11" t="s">
        <v>214</v>
      </c>
      <c r="D50" s="12" t="s">
        <v>215</v>
      </c>
      <c r="E50" s="13" t="s">
        <v>216</v>
      </c>
      <c r="F50" s="9" t="s">
        <v>34</v>
      </c>
      <c r="G50" s="13" t="s">
        <v>217</v>
      </c>
      <c r="H50" s="12" t="s">
        <v>213</v>
      </c>
      <c r="I50" s="13" t="s">
        <v>155</v>
      </c>
      <c r="J50" s="12">
        <v>2</v>
      </c>
      <c r="K50" s="12"/>
    </row>
    <row r="51" spans="1:11" ht="27.6">
      <c r="A51" s="2"/>
      <c r="B51" s="7">
        <f t="shared" si="1"/>
        <v>49</v>
      </c>
      <c r="C51" s="11" t="s">
        <v>214</v>
      </c>
      <c r="D51" s="14" t="s">
        <v>218</v>
      </c>
      <c r="E51" s="15" t="s">
        <v>216</v>
      </c>
      <c r="F51" s="14" t="s">
        <v>217</v>
      </c>
      <c r="G51" s="15" t="s">
        <v>217</v>
      </c>
      <c r="H51" s="14" t="s">
        <v>213</v>
      </c>
      <c r="I51" s="15" t="s">
        <v>136</v>
      </c>
      <c r="J51" s="14">
        <v>1</v>
      </c>
      <c r="K51" s="16" t="s">
        <v>137</v>
      </c>
    </row>
    <row r="52" spans="1:11" ht="27.6">
      <c r="A52" s="2"/>
      <c r="B52" s="7">
        <f t="shared" si="1"/>
        <v>50</v>
      </c>
      <c r="C52" s="11" t="s">
        <v>219</v>
      </c>
      <c r="D52" s="12" t="s">
        <v>220</v>
      </c>
      <c r="E52" s="13" t="s">
        <v>221</v>
      </c>
      <c r="F52" s="9" t="s">
        <v>34</v>
      </c>
      <c r="G52" s="13" t="s">
        <v>222</v>
      </c>
      <c r="H52" s="12" t="s">
        <v>223</v>
      </c>
      <c r="I52" s="13" t="s">
        <v>155</v>
      </c>
      <c r="J52" s="12">
        <v>1</v>
      </c>
      <c r="K52" s="12"/>
    </row>
    <row r="53" spans="1:11">
      <c r="A53" s="2"/>
      <c r="B53" s="7">
        <f t="shared" si="1"/>
        <v>51</v>
      </c>
      <c r="C53" s="11" t="s">
        <v>224</v>
      </c>
      <c r="D53" s="12" t="s">
        <v>225</v>
      </c>
      <c r="E53" s="13" t="s">
        <v>226</v>
      </c>
      <c r="F53" s="9" t="s">
        <v>34</v>
      </c>
      <c r="G53" s="13" t="s">
        <v>227</v>
      </c>
      <c r="H53" s="12" t="s">
        <v>228</v>
      </c>
      <c r="I53" s="13" t="s">
        <v>229</v>
      </c>
      <c r="J53" s="12">
        <v>1</v>
      </c>
      <c r="K53" s="12"/>
    </row>
    <row r="54" spans="1:11" ht="24">
      <c r="A54" s="2"/>
      <c r="B54" s="7">
        <f t="shared" si="1"/>
        <v>52</v>
      </c>
      <c r="C54" s="8" t="s">
        <v>230</v>
      </c>
      <c r="D54" s="9" t="s">
        <v>231</v>
      </c>
      <c r="E54" s="10" t="s">
        <v>634</v>
      </c>
      <c r="F54" s="9" t="s">
        <v>34</v>
      </c>
      <c r="G54" s="10" t="s">
        <v>633</v>
      </c>
      <c r="H54" s="9" t="s">
        <v>240</v>
      </c>
      <c r="I54" s="10" t="s">
        <v>232</v>
      </c>
      <c r="J54" s="9">
        <v>3</v>
      </c>
      <c r="K54" s="9" t="s">
        <v>635</v>
      </c>
    </row>
    <row r="55" spans="1:11">
      <c r="A55" s="2"/>
      <c r="B55" s="7">
        <f t="shared" si="1"/>
        <v>53</v>
      </c>
      <c r="C55" s="8" t="s">
        <v>230</v>
      </c>
      <c r="D55" s="12" t="s">
        <v>233</v>
      </c>
      <c r="E55" s="13" t="s">
        <v>234</v>
      </c>
      <c r="F55" s="9" t="s">
        <v>34</v>
      </c>
      <c r="G55" s="13" t="s">
        <v>235</v>
      </c>
      <c r="H55" s="12" t="s">
        <v>236</v>
      </c>
      <c r="I55" s="13" t="s">
        <v>232</v>
      </c>
      <c r="J55" s="12">
        <v>1</v>
      </c>
      <c r="K55" s="12"/>
    </row>
    <row r="56" spans="1:11" ht="24">
      <c r="A56" s="2"/>
      <c r="B56" s="7">
        <f t="shared" si="1"/>
        <v>54</v>
      </c>
      <c r="C56" s="8" t="s">
        <v>230</v>
      </c>
      <c r="D56" s="9" t="s">
        <v>237</v>
      </c>
      <c r="E56" s="10" t="s">
        <v>238</v>
      </c>
      <c r="F56" s="9" t="s">
        <v>34</v>
      </c>
      <c r="G56" s="10" t="s">
        <v>239</v>
      </c>
      <c r="H56" s="9" t="s">
        <v>240</v>
      </c>
      <c r="I56" s="10" t="s">
        <v>241</v>
      </c>
      <c r="J56" s="9">
        <v>1</v>
      </c>
      <c r="K56" s="9"/>
    </row>
    <row r="57" spans="1:11">
      <c r="A57" s="2"/>
      <c r="B57" s="7">
        <f t="shared" si="1"/>
        <v>55</v>
      </c>
      <c r="C57" s="11" t="s">
        <v>224</v>
      </c>
      <c r="D57" s="14" t="s">
        <v>242</v>
      </c>
      <c r="E57" s="15" t="s">
        <v>243</v>
      </c>
      <c r="F57" s="14" t="s">
        <v>193</v>
      </c>
      <c r="G57" s="15" t="s">
        <v>244</v>
      </c>
      <c r="H57" s="14" t="s">
        <v>15</v>
      </c>
      <c r="I57" s="15" t="s">
        <v>136</v>
      </c>
      <c r="J57" s="14">
        <v>1</v>
      </c>
      <c r="K57" s="16" t="s">
        <v>137</v>
      </c>
    </row>
    <row r="58" spans="1:11" ht="24">
      <c r="A58" s="2"/>
      <c r="B58" s="7">
        <f t="shared" si="1"/>
        <v>56</v>
      </c>
      <c r="C58" s="8" t="s">
        <v>230</v>
      </c>
      <c r="D58" s="9" t="s">
        <v>245</v>
      </c>
      <c r="E58" s="10" t="s">
        <v>246</v>
      </c>
      <c r="F58" s="9" t="s">
        <v>34</v>
      </c>
      <c r="G58" s="10" t="s">
        <v>247</v>
      </c>
      <c r="H58" s="9" t="s">
        <v>248</v>
      </c>
      <c r="I58" s="10" t="s">
        <v>249</v>
      </c>
      <c r="J58" s="9">
        <v>1</v>
      </c>
      <c r="K58" s="9" t="s">
        <v>626</v>
      </c>
    </row>
    <row r="59" spans="1:11">
      <c r="A59" s="2"/>
      <c r="B59" s="7">
        <f t="shared" si="1"/>
        <v>57</v>
      </c>
      <c r="C59" s="11" t="s">
        <v>250</v>
      </c>
      <c r="D59" s="12" t="s">
        <v>251</v>
      </c>
      <c r="E59" s="13" t="s">
        <v>252</v>
      </c>
      <c r="F59" s="12" t="s">
        <v>253</v>
      </c>
      <c r="G59" s="13" t="s">
        <v>254</v>
      </c>
      <c r="H59" s="12" t="s">
        <v>255</v>
      </c>
      <c r="I59" s="13" t="s">
        <v>155</v>
      </c>
      <c r="J59" s="12">
        <v>1</v>
      </c>
      <c r="K59" s="12"/>
    </row>
    <row r="60" spans="1:11" ht="24">
      <c r="A60" s="2"/>
      <c r="B60" s="7">
        <f t="shared" si="1"/>
        <v>58</v>
      </c>
      <c r="C60" s="8" t="s">
        <v>250</v>
      </c>
      <c r="D60" s="9" t="s">
        <v>256</v>
      </c>
      <c r="E60" s="10" t="s">
        <v>257</v>
      </c>
      <c r="F60" s="9" t="s">
        <v>258</v>
      </c>
      <c r="G60" s="10" t="s">
        <v>259</v>
      </c>
      <c r="H60" s="9" t="s">
        <v>260</v>
      </c>
      <c r="I60" s="13" t="s">
        <v>155</v>
      </c>
      <c r="J60" s="9">
        <v>5</v>
      </c>
      <c r="K60" s="9"/>
    </row>
    <row r="61" spans="1:11" ht="24">
      <c r="A61" s="2"/>
      <c r="B61" s="7">
        <f t="shared" si="1"/>
        <v>59</v>
      </c>
      <c r="C61" s="11" t="s">
        <v>250</v>
      </c>
      <c r="D61" s="12" t="s">
        <v>261</v>
      </c>
      <c r="E61" s="13" t="s">
        <v>262</v>
      </c>
      <c r="F61" s="12" t="s">
        <v>263</v>
      </c>
      <c r="G61" s="13" t="s">
        <v>264</v>
      </c>
      <c r="H61" s="12" t="s">
        <v>265</v>
      </c>
      <c r="I61" s="13" t="s">
        <v>155</v>
      </c>
      <c r="J61" s="12">
        <v>2</v>
      </c>
      <c r="K61" s="12"/>
    </row>
    <row r="62" spans="1:11">
      <c r="A62" s="2"/>
      <c r="B62" s="7">
        <f t="shared" si="1"/>
        <v>60</v>
      </c>
      <c r="C62" s="8" t="s">
        <v>250</v>
      </c>
      <c r="D62" s="9" t="s">
        <v>266</v>
      </c>
      <c r="E62" s="10" t="s">
        <v>267</v>
      </c>
      <c r="F62" s="9" t="s">
        <v>268</v>
      </c>
      <c r="G62" s="10" t="s">
        <v>269</v>
      </c>
      <c r="H62" s="9" t="s">
        <v>265</v>
      </c>
      <c r="I62" s="13" t="s">
        <v>155</v>
      </c>
      <c r="J62" s="9">
        <v>1</v>
      </c>
      <c r="K62" s="9"/>
    </row>
    <row r="63" spans="1:11" ht="24">
      <c r="A63" s="2"/>
      <c r="B63" s="7">
        <f t="shared" si="1"/>
        <v>61</v>
      </c>
      <c r="C63" s="11" t="s">
        <v>250</v>
      </c>
      <c r="D63" s="12" t="s">
        <v>270</v>
      </c>
      <c r="E63" s="13" t="s">
        <v>271</v>
      </c>
      <c r="F63" s="12" t="s">
        <v>258</v>
      </c>
      <c r="G63" s="13" t="s">
        <v>272</v>
      </c>
      <c r="H63" s="12" t="s">
        <v>260</v>
      </c>
      <c r="I63" s="13" t="s">
        <v>155</v>
      </c>
      <c r="J63" s="12">
        <v>1</v>
      </c>
      <c r="K63" s="12"/>
    </row>
    <row r="64" spans="1:11" ht="36">
      <c r="A64" s="2"/>
      <c r="B64" s="7">
        <f t="shared" si="1"/>
        <v>62</v>
      </c>
      <c r="C64" s="8" t="s">
        <v>273</v>
      </c>
      <c r="D64" s="9" t="s">
        <v>274</v>
      </c>
      <c r="E64" s="10" t="s">
        <v>275</v>
      </c>
      <c r="F64" s="9" t="s">
        <v>34</v>
      </c>
      <c r="G64" s="10" t="s">
        <v>276</v>
      </c>
      <c r="H64" s="9" t="s">
        <v>277</v>
      </c>
      <c r="I64" s="13" t="s">
        <v>155</v>
      </c>
      <c r="J64" s="9">
        <v>1</v>
      </c>
      <c r="K64" s="9"/>
    </row>
    <row r="65" spans="1:11">
      <c r="A65" s="2"/>
      <c r="B65" s="7">
        <f t="shared" si="1"/>
        <v>63</v>
      </c>
      <c r="C65" s="11" t="s">
        <v>278</v>
      </c>
      <c r="D65" s="12" t="s">
        <v>279</v>
      </c>
      <c r="E65" s="13" t="s">
        <v>280</v>
      </c>
      <c r="F65" s="12" t="s">
        <v>281</v>
      </c>
      <c r="G65" s="13" t="s">
        <v>282</v>
      </c>
      <c r="H65" s="12" t="s">
        <v>166</v>
      </c>
      <c r="I65" s="13" t="s">
        <v>155</v>
      </c>
      <c r="J65" s="12">
        <v>1</v>
      </c>
      <c r="K65" s="12"/>
    </row>
    <row r="66" spans="1:11">
      <c r="A66" s="2"/>
      <c r="B66" s="7">
        <f t="shared" si="1"/>
        <v>64</v>
      </c>
      <c r="C66" s="8" t="s">
        <v>278</v>
      </c>
      <c r="D66" s="9" t="s">
        <v>283</v>
      </c>
      <c r="E66" s="10" t="s">
        <v>284</v>
      </c>
      <c r="F66" s="9" t="s">
        <v>285</v>
      </c>
      <c r="G66" s="10" t="s">
        <v>286</v>
      </c>
      <c r="H66" s="9" t="s">
        <v>287</v>
      </c>
      <c r="I66" s="13" t="s">
        <v>155</v>
      </c>
      <c r="J66" s="9">
        <v>6</v>
      </c>
      <c r="K66" s="9"/>
    </row>
    <row r="67" spans="1:11" ht="24">
      <c r="A67" s="2"/>
      <c r="B67" s="7">
        <f t="shared" ref="B67:B99" si="2">ROW(B67)-ROW($B$2)</f>
        <v>65</v>
      </c>
      <c r="C67" s="11" t="s">
        <v>288</v>
      </c>
      <c r="D67" s="12" t="s">
        <v>289</v>
      </c>
      <c r="E67" s="13" t="s">
        <v>290</v>
      </c>
      <c r="F67" s="12" t="s">
        <v>281</v>
      </c>
      <c r="G67" s="13" t="s">
        <v>291</v>
      </c>
      <c r="H67" s="12" t="s">
        <v>292</v>
      </c>
      <c r="I67" s="13" t="s">
        <v>155</v>
      </c>
      <c r="J67" s="12">
        <v>1</v>
      </c>
      <c r="K67" s="12" t="s">
        <v>626</v>
      </c>
    </row>
    <row r="68" spans="1:11" ht="36">
      <c r="A68" s="2"/>
      <c r="B68" s="7"/>
      <c r="C68" s="8" t="s">
        <v>278</v>
      </c>
      <c r="D68" s="9" t="s">
        <v>638</v>
      </c>
      <c r="E68" s="10" t="s">
        <v>641</v>
      </c>
      <c r="F68" s="9" t="s">
        <v>281</v>
      </c>
      <c r="G68" s="10" t="s">
        <v>639</v>
      </c>
      <c r="H68" s="9" t="s">
        <v>640</v>
      </c>
      <c r="I68" s="10" t="s">
        <v>155</v>
      </c>
      <c r="J68" s="9">
        <v>1</v>
      </c>
      <c r="K68" s="12" t="s">
        <v>626</v>
      </c>
    </row>
    <row r="69" spans="1:11">
      <c r="A69" s="2"/>
      <c r="B69" s="7">
        <f t="shared" si="2"/>
        <v>67</v>
      </c>
      <c r="C69" s="8" t="s">
        <v>293</v>
      </c>
      <c r="D69" s="9" t="s">
        <v>294</v>
      </c>
      <c r="E69" s="10" t="s">
        <v>295</v>
      </c>
      <c r="F69" s="9" t="s">
        <v>296</v>
      </c>
      <c r="G69" s="10" t="s">
        <v>297</v>
      </c>
      <c r="H69" s="9" t="s">
        <v>74</v>
      </c>
      <c r="I69" s="10" t="s">
        <v>298</v>
      </c>
      <c r="J69" s="9">
        <v>7</v>
      </c>
      <c r="K69" s="9"/>
    </row>
    <row r="70" spans="1:11">
      <c r="A70" s="2"/>
      <c r="B70" s="7">
        <f t="shared" si="2"/>
        <v>68</v>
      </c>
      <c r="C70" s="8" t="s">
        <v>293</v>
      </c>
      <c r="D70" s="12" t="s">
        <v>299</v>
      </c>
      <c r="E70" s="13" t="s">
        <v>300</v>
      </c>
      <c r="F70" s="12" t="s">
        <v>296</v>
      </c>
      <c r="G70" s="13" t="s">
        <v>301</v>
      </c>
      <c r="H70" s="12" t="s">
        <v>74</v>
      </c>
      <c r="I70" s="13" t="s">
        <v>302</v>
      </c>
      <c r="J70" s="12">
        <v>1</v>
      </c>
      <c r="K70" s="12"/>
    </row>
    <row r="71" spans="1:11">
      <c r="A71" s="2"/>
      <c r="B71" s="7">
        <f t="shared" si="2"/>
        <v>69</v>
      </c>
      <c r="C71" s="8" t="s">
        <v>303</v>
      </c>
      <c r="D71" s="9" t="s">
        <v>304</v>
      </c>
      <c r="E71" s="10" t="s">
        <v>305</v>
      </c>
      <c r="F71" s="9" t="s">
        <v>296</v>
      </c>
      <c r="G71" s="10" t="s">
        <v>306</v>
      </c>
      <c r="H71" s="9" t="s">
        <v>74</v>
      </c>
      <c r="I71" s="10" t="s">
        <v>307</v>
      </c>
      <c r="J71" s="9">
        <v>1</v>
      </c>
      <c r="K71" s="9"/>
    </row>
    <row r="72" spans="1:11">
      <c r="A72" s="2"/>
      <c r="B72" s="7">
        <f t="shared" si="2"/>
        <v>70</v>
      </c>
      <c r="C72" s="11" t="s">
        <v>293</v>
      </c>
      <c r="D72" s="12" t="s">
        <v>308</v>
      </c>
      <c r="E72" s="13" t="s">
        <v>309</v>
      </c>
      <c r="F72" s="12" t="s">
        <v>296</v>
      </c>
      <c r="G72" s="13" t="s">
        <v>310</v>
      </c>
      <c r="H72" s="12" t="s">
        <v>74</v>
      </c>
      <c r="I72" s="13" t="s">
        <v>311</v>
      </c>
      <c r="J72" s="12">
        <v>1</v>
      </c>
      <c r="K72" s="12"/>
    </row>
    <row r="73" spans="1:11">
      <c r="A73" s="2"/>
      <c r="B73" s="7">
        <f t="shared" si="2"/>
        <v>71</v>
      </c>
      <c r="C73" s="8" t="s">
        <v>293</v>
      </c>
      <c r="D73" s="9" t="s">
        <v>312</v>
      </c>
      <c r="E73" s="10" t="s">
        <v>313</v>
      </c>
      <c r="F73" s="9" t="s">
        <v>296</v>
      </c>
      <c r="G73" s="10" t="s">
        <v>314</v>
      </c>
      <c r="H73" s="9" t="s">
        <v>74</v>
      </c>
      <c r="I73" s="10" t="s">
        <v>315</v>
      </c>
      <c r="J73" s="9">
        <v>1</v>
      </c>
      <c r="K73" s="9"/>
    </row>
    <row r="74" spans="1:11">
      <c r="A74" s="2"/>
      <c r="B74" s="7">
        <f t="shared" si="2"/>
        <v>72</v>
      </c>
      <c r="C74" s="11" t="s">
        <v>293</v>
      </c>
      <c r="D74" s="12" t="s">
        <v>316</v>
      </c>
      <c r="E74" s="13" t="s">
        <v>317</v>
      </c>
      <c r="F74" s="12" t="s">
        <v>318</v>
      </c>
      <c r="G74" s="13" t="s">
        <v>319</v>
      </c>
      <c r="H74" s="12" t="s">
        <v>74</v>
      </c>
      <c r="I74" s="13" t="s">
        <v>320</v>
      </c>
      <c r="J74" s="12">
        <v>1</v>
      </c>
      <c r="K74" s="12"/>
    </row>
    <row r="75" spans="1:11">
      <c r="A75" s="2"/>
      <c r="B75" s="7">
        <f t="shared" si="2"/>
        <v>73</v>
      </c>
      <c r="C75" s="8" t="s">
        <v>303</v>
      </c>
      <c r="D75" s="9" t="s">
        <v>321</v>
      </c>
      <c r="E75" s="10" t="s">
        <v>322</v>
      </c>
      <c r="F75" s="9" t="s">
        <v>296</v>
      </c>
      <c r="G75" s="10" t="s">
        <v>323</v>
      </c>
      <c r="H75" s="9" t="s">
        <v>74</v>
      </c>
      <c r="I75" s="10" t="s">
        <v>324</v>
      </c>
      <c r="J75" s="9">
        <v>1</v>
      </c>
      <c r="K75" s="9"/>
    </row>
    <row r="76" spans="1:11">
      <c r="A76" s="2"/>
      <c r="B76" s="7">
        <f t="shared" si="2"/>
        <v>74</v>
      </c>
      <c r="C76" s="11" t="s">
        <v>293</v>
      </c>
      <c r="D76" s="12" t="s">
        <v>325</v>
      </c>
      <c r="E76" s="13" t="s">
        <v>326</v>
      </c>
      <c r="F76" s="12" t="s">
        <v>296</v>
      </c>
      <c r="G76" s="13" t="s">
        <v>327</v>
      </c>
      <c r="H76" s="12" t="s">
        <v>74</v>
      </c>
      <c r="I76" s="13" t="s">
        <v>328</v>
      </c>
      <c r="J76" s="12">
        <v>1</v>
      </c>
      <c r="K76" s="12"/>
    </row>
    <row r="77" spans="1:11">
      <c r="A77" s="2"/>
      <c r="B77" s="7">
        <f t="shared" si="2"/>
        <v>75</v>
      </c>
      <c r="C77" s="8" t="s">
        <v>293</v>
      </c>
      <c r="D77" s="9" t="s">
        <v>329</v>
      </c>
      <c r="E77" s="10" t="s">
        <v>330</v>
      </c>
      <c r="F77" s="9" t="s">
        <v>296</v>
      </c>
      <c r="G77" s="10" t="s">
        <v>331</v>
      </c>
      <c r="H77" s="9" t="s">
        <v>74</v>
      </c>
      <c r="I77" s="10" t="s">
        <v>311</v>
      </c>
      <c r="J77" s="9">
        <v>1</v>
      </c>
      <c r="K77" s="9"/>
    </row>
    <row r="78" spans="1:11">
      <c r="A78" s="2"/>
      <c r="B78" s="7">
        <f t="shared" si="2"/>
        <v>76</v>
      </c>
      <c r="C78" s="11" t="s">
        <v>303</v>
      </c>
      <c r="D78" s="12" t="s">
        <v>332</v>
      </c>
      <c r="E78" s="13" t="s">
        <v>333</v>
      </c>
      <c r="F78" s="12" t="s">
        <v>296</v>
      </c>
      <c r="G78" s="13" t="s">
        <v>334</v>
      </c>
      <c r="H78" s="12" t="s">
        <v>74</v>
      </c>
      <c r="I78" s="13" t="s">
        <v>335</v>
      </c>
      <c r="J78" s="12">
        <v>1</v>
      </c>
      <c r="K78" s="12"/>
    </row>
    <row r="79" spans="1:11">
      <c r="A79" s="2"/>
      <c r="B79" s="7">
        <f t="shared" si="2"/>
        <v>77</v>
      </c>
      <c r="C79" s="8" t="s">
        <v>293</v>
      </c>
      <c r="D79" s="9" t="s">
        <v>336</v>
      </c>
      <c r="E79" s="10" t="s">
        <v>337</v>
      </c>
      <c r="F79" s="9" t="s">
        <v>296</v>
      </c>
      <c r="G79" s="10" t="s">
        <v>338</v>
      </c>
      <c r="H79" s="9" t="s">
        <v>74</v>
      </c>
      <c r="I79" s="10" t="s">
        <v>339</v>
      </c>
      <c r="J79" s="9">
        <v>1</v>
      </c>
      <c r="K79" s="9"/>
    </row>
    <row r="80" spans="1:11">
      <c r="A80" s="2"/>
      <c r="B80" s="7">
        <f t="shared" si="2"/>
        <v>78</v>
      </c>
      <c r="C80" s="11" t="s">
        <v>293</v>
      </c>
      <c r="D80" s="12" t="s">
        <v>643</v>
      </c>
      <c r="E80" s="13" t="s">
        <v>340</v>
      </c>
      <c r="F80" s="12" t="s">
        <v>296</v>
      </c>
      <c r="G80" s="13" t="s">
        <v>341</v>
      </c>
      <c r="H80" s="12" t="s">
        <v>74</v>
      </c>
      <c r="I80" s="13" t="s">
        <v>342</v>
      </c>
      <c r="J80" s="12">
        <v>7</v>
      </c>
      <c r="K80" s="12" t="s">
        <v>644</v>
      </c>
    </row>
    <row r="81" spans="1:11">
      <c r="A81" s="2"/>
      <c r="B81" s="7">
        <f t="shared" si="2"/>
        <v>79</v>
      </c>
      <c r="C81" s="8" t="s">
        <v>293</v>
      </c>
      <c r="D81" s="9" t="s">
        <v>343</v>
      </c>
      <c r="E81" s="10" t="s">
        <v>344</v>
      </c>
      <c r="F81" s="9" t="s">
        <v>318</v>
      </c>
      <c r="G81" s="10" t="s">
        <v>345</v>
      </c>
      <c r="H81" s="9" t="s">
        <v>74</v>
      </c>
      <c r="I81" s="10" t="s">
        <v>346</v>
      </c>
      <c r="J81" s="9">
        <v>1</v>
      </c>
      <c r="K81" s="9"/>
    </row>
    <row r="82" spans="1:11" ht="24">
      <c r="A82" s="2"/>
      <c r="B82" s="7">
        <f t="shared" si="2"/>
        <v>80</v>
      </c>
      <c r="C82" s="11" t="s">
        <v>303</v>
      </c>
      <c r="D82" s="12" t="s">
        <v>347</v>
      </c>
      <c r="E82" s="13" t="s">
        <v>348</v>
      </c>
      <c r="F82" s="12" t="s">
        <v>296</v>
      </c>
      <c r="G82" s="13" t="s">
        <v>349</v>
      </c>
      <c r="H82" s="12" t="s">
        <v>74</v>
      </c>
      <c r="I82" s="13" t="s">
        <v>350</v>
      </c>
      <c r="J82" s="12">
        <v>18</v>
      </c>
      <c r="K82" s="12"/>
    </row>
    <row r="83" spans="1:11">
      <c r="A83" s="2"/>
      <c r="B83" s="7">
        <f t="shared" si="2"/>
        <v>81</v>
      </c>
      <c r="C83" s="8" t="s">
        <v>293</v>
      </c>
      <c r="D83" s="9" t="s">
        <v>351</v>
      </c>
      <c r="E83" s="10" t="s">
        <v>352</v>
      </c>
      <c r="F83" s="9" t="s">
        <v>296</v>
      </c>
      <c r="G83" s="10" t="s">
        <v>353</v>
      </c>
      <c r="H83" s="9" t="s">
        <v>74</v>
      </c>
      <c r="I83" s="10" t="s">
        <v>354</v>
      </c>
      <c r="J83" s="9">
        <v>2</v>
      </c>
      <c r="K83" s="9"/>
    </row>
    <row r="84" spans="1:11">
      <c r="A84" s="2"/>
      <c r="B84" s="7">
        <f t="shared" si="2"/>
        <v>82</v>
      </c>
      <c r="C84" s="11" t="s">
        <v>303</v>
      </c>
      <c r="D84" s="12" t="s">
        <v>355</v>
      </c>
      <c r="E84" s="13" t="s">
        <v>356</v>
      </c>
      <c r="F84" s="12" t="s">
        <v>296</v>
      </c>
      <c r="G84" s="13" t="s">
        <v>357</v>
      </c>
      <c r="H84" s="12" t="s">
        <v>74</v>
      </c>
      <c r="I84" s="13" t="s">
        <v>358</v>
      </c>
      <c r="J84" s="12">
        <v>1</v>
      </c>
      <c r="K84" s="12"/>
    </row>
    <row r="85" spans="1:11">
      <c r="A85" s="2"/>
      <c r="B85" s="7">
        <f t="shared" si="2"/>
        <v>83</v>
      </c>
      <c r="C85" s="8" t="s">
        <v>293</v>
      </c>
      <c r="D85" s="9" t="s">
        <v>359</v>
      </c>
      <c r="E85" s="10" t="s">
        <v>360</v>
      </c>
      <c r="F85" s="9" t="s">
        <v>296</v>
      </c>
      <c r="G85" s="10" t="s">
        <v>361</v>
      </c>
      <c r="H85" s="9" t="s">
        <v>74</v>
      </c>
      <c r="I85" s="10" t="s">
        <v>362</v>
      </c>
      <c r="J85" s="9">
        <v>1</v>
      </c>
      <c r="K85" s="9"/>
    </row>
    <row r="86" spans="1:11">
      <c r="A86" s="2"/>
      <c r="B86" s="7">
        <f t="shared" si="2"/>
        <v>84</v>
      </c>
      <c r="C86" s="11" t="s">
        <v>293</v>
      </c>
      <c r="D86" s="12" t="s">
        <v>642</v>
      </c>
      <c r="E86" s="13" t="s">
        <v>363</v>
      </c>
      <c r="F86" s="12" t="s">
        <v>318</v>
      </c>
      <c r="G86" s="13" t="s">
        <v>364</v>
      </c>
      <c r="H86" s="12" t="s">
        <v>74</v>
      </c>
      <c r="I86" s="13" t="s">
        <v>350</v>
      </c>
      <c r="J86" s="12">
        <v>9</v>
      </c>
      <c r="K86" s="12"/>
    </row>
    <row r="87" spans="1:11">
      <c r="A87" s="2"/>
      <c r="B87" s="7">
        <f t="shared" si="2"/>
        <v>85</v>
      </c>
      <c r="C87" s="8" t="s">
        <v>303</v>
      </c>
      <c r="D87" s="9" t="s">
        <v>365</v>
      </c>
      <c r="E87" s="10" t="s">
        <v>366</v>
      </c>
      <c r="F87" s="9" t="s">
        <v>318</v>
      </c>
      <c r="G87" s="10" t="s">
        <v>367</v>
      </c>
      <c r="H87" s="9" t="s">
        <v>74</v>
      </c>
      <c r="I87" s="10" t="s">
        <v>368</v>
      </c>
      <c r="J87" s="9">
        <v>1</v>
      </c>
      <c r="K87" s="9"/>
    </row>
    <row r="88" spans="1:11">
      <c r="A88" s="2"/>
      <c r="B88" s="7">
        <f t="shared" si="2"/>
        <v>86</v>
      </c>
      <c r="C88" s="11" t="s">
        <v>293</v>
      </c>
      <c r="D88" s="12" t="s">
        <v>369</v>
      </c>
      <c r="E88" s="13" t="s">
        <v>370</v>
      </c>
      <c r="F88" s="12" t="s">
        <v>318</v>
      </c>
      <c r="G88" s="13" t="s">
        <v>371</v>
      </c>
      <c r="H88" s="12" t="s">
        <v>74</v>
      </c>
      <c r="I88" s="13" t="s">
        <v>372</v>
      </c>
      <c r="J88" s="12">
        <v>1</v>
      </c>
      <c r="K88" s="12"/>
    </row>
    <row r="89" spans="1:11">
      <c r="A89" s="2"/>
      <c r="B89" s="7">
        <f t="shared" si="2"/>
        <v>87</v>
      </c>
      <c r="C89" s="8" t="s">
        <v>303</v>
      </c>
      <c r="D89" s="9" t="s">
        <v>373</v>
      </c>
      <c r="E89" s="10" t="s">
        <v>374</v>
      </c>
      <c r="F89" s="9" t="s">
        <v>318</v>
      </c>
      <c r="G89" s="10" t="s">
        <v>375</v>
      </c>
      <c r="H89" s="9" t="s">
        <v>74</v>
      </c>
      <c r="I89" s="10" t="s">
        <v>376</v>
      </c>
      <c r="J89" s="9">
        <v>1</v>
      </c>
      <c r="K89" s="9"/>
    </row>
    <row r="90" spans="1:11">
      <c r="A90" s="2"/>
      <c r="B90" s="7">
        <f t="shared" si="2"/>
        <v>88</v>
      </c>
      <c r="C90" s="11" t="s">
        <v>303</v>
      </c>
      <c r="D90" s="12" t="s">
        <v>377</v>
      </c>
      <c r="E90" s="13" t="s">
        <v>378</v>
      </c>
      <c r="F90" s="12" t="s">
        <v>318</v>
      </c>
      <c r="G90" s="13" t="s">
        <v>379</v>
      </c>
      <c r="H90" s="12" t="s">
        <v>74</v>
      </c>
      <c r="I90" s="13" t="s">
        <v>380</v>
      </c>
      <c r="J90" s="12">
        <v>1</v>
      </c>
      <c r="K90" s="12"/>
    </row>
    <row r="91" spans="1:11">
      <c r="A91" s="2"/>
      <c r="B91" s="7">
        <f t="shared" si="2"/>
        <v>89</v>
      </c>
      <c r="C91" s="8" t="s">
        <v>293</v>
      </c>
      <c r="D91" s="14" t="s">
        <v>645</v>
      </c>
      <c r="E91" s="15" t="s">
        <v>363</v>
      </c>
      <c r="F91" s="14" t="s">
        <v>318</v>
      </c>
      <c r="G91" s="15" t="s">
        <v>364</v>
      </c>
      <c r="H91" s="14" t="s">
        <v>74</v>
      </c>
      <c r="I91" s="15" t="s">
        <v>136</v>
      </c>
      <c r="J91" s="14">
        <v>3</v>
      </c>
      <c r="K91" s="16" t="s">
        <v>137</v>
      </c>
    </row>
    <row r="92" spans="1:11">
      <c r="A92" s="2"/>
      <c r="B92" s="7">
        <f t="shared" si="2"/>
        <v>90</v>
      </c>
      <c r="C92" s="11" t="s">
        <v>303</v>
      </c>
      <c r="D92" s="12" t="s">
        <v>381</v>
      </c>
      <c r="E92" s="13" t="s">
        <v>382</v>
      </c>
      <c r="F92" s="12" t="s">
        <v>318</v>
      </c>
      <c r="G92" s="13" t="s">
        <v>383</v>
      </c>
      <c r="H92" s="12" t="s">
        <v>74</v>
      </c>
      <c r="I92" s="13" t="s">
        <v>384</v>
      </c>
      <c r="J92" s="12">
        <v>1</v>
      </c>
      <c r="K92" s="12"/>
    </row>
    <row r="93" spans="1:11">
      <c r="A93" s="2"/>
      <c r="B93" s="7">
        <f t="shared" si="2"/>
        <v>91</v>
      </c>
      <c r="C93" s="8" t="s">
        <v>293</v>
      </c>
      <c r="D93" s="9" t="s">
        <v>385</v>
      </c>
      <c r="E93" s="10" t="s">
        <v>386</v>
      </c>
      <c r="F93" s="9" t="s">
        <v>318</v>
      </c>
      <c r="G93" s="10" t="s">
        <v>387</v>
      </c>
      <c r="H93" s="9" t="s">
        <v>74</v>
      </c>
      <c r="I93" s="10" t="s">
        <v>311</v>
      </c>
      <c r="J93" s="9">
        <v>7</v>
      </c>
      <c r="K93" s="9"/>
    </row>
    <row r="94" spans="1:11">
      <c r="A94" s="2"/>
      <c r="B94" s="7">
        <f t="shared" si="2"/>
        <v>92</v>
      </c>
      <c r="C94" s="11" t="s">
        <v>293</v>
      </c>
      <c r="D94" s="12" t="s">
        <v>655</v>
      </c>
      <c r="E94" s="13" t="s">
        <v>388</v>
      </c>
      <c r="F94" s="12" t="s">
        <v>318</v>
      </c>
      <c r="G94" s="13" t="s">
        <v>389</v>
      </c>
      <c r="H94" s="12" t="s">
        <v>74</v>
      </c>
      <c r="I94" s="13" t="s">
        <v>390</v>
      </c>
      <c r="J94" s="12">
        <v>9</v>
      </c>
      <c r="K94" s="12" t="s">
        <v>656</v>
      </c>
    </row>
    <row r="95" spans="1:11">
      <c r="A95" s="2"/>
      <c r="B95" s="7">
        <f t="shared" si="2"/>
        <v>93</v>
      </c>
      <c r="C95" s="8" t="s">
        <v>303</v>
      </c>
      <c r="D95" s="9" t="s">
        <v>391</v>
      </c>
      <c r="E95" s="10" t="s">
        <v>392</v>
      </c>
      <c r="F95" s="9" t="s">
        <v>318</v>
      </c>
      <c r="G95" s="10" t="s">
        <v>393</v>
      </c>
      <c r="H95" s="9" t="s">
        <v>74</v>
      </c>
      <c r="I95" s="10" t="s">
        <v>315</v>
      </c>
      <c r="J95" s="9">
        <v>5</v>
      </c>
      <c r="K95" s="9"/>
    </row>
    <row r="96" spans="1:11">
      <c r="A96" s="2"/>
      <c r="B96" s="7">
        <f t="shared" si="2"/>
        <v>94</v>
      </c>
      <c r="C96" s="11" t="s">
        <v>303</v>
      </c>
      <c r="D96" s="12" t="s">
        <v>394</v>
      </c>
      <c r="E96" s="13" t="s">
        <v>395</v>
      </c>
      <c r="F96" s="12" t="s">
        <v>318</v>
      </c>
      <c r="G96" s="13" t="s">
        <v>396</v>
      </c>
      <c r="H96" s="12" t="s">
        <v>74</v>
      </c>
      <c r="I96" s="13" t="s">
        <v>397</v>
      </c>
      <c r="J96" s="12">
        <v>1</v>
      </c>
      <c r="K96" s="12"/>
    </row>
    <row r="97" spans="1:11">
      <c r="A97" s="2"/>
      <c r="B97" s="7">
        <f t="shared" si="2"/>
        <v>95</v>
      </c>
      <c r="C97" s="11" t="s">
        <v>303</v>
      </c>
      <c r="D97" s="9" t="s">
        <v>398</v>
      </c>
      <c r="E97" s="10" t="s">
        <v>399</v>
      </c>
      <c r="F97" s="9" t="s">
        <v>318</v>
      </c>
      <c r="G97" s="10"/>
      <c r="H97" s="9"/>
      <c r="I97" s="10" t="s">
        <v>400</v>
      </c>
      <c r="J97" s="9">
        <v>2</v>
      </c>
      <c r="K97" s="9"/>
    </row>
    <row r="98" spans="1:11">
      <c r="A98" s="2"/>
      <c r="B98" s="7">
        <f t="shared" si="2"/>
        <v>96</v>
      </c>
      <c r="C98" s="11" t="s">
        <v>293</v>
      </c>
      <c r="D98" s="12" t="s">
        <v>401</v>
      </c>
      <c r="E98" s="13" t="s">
        <v>402</v>
      </c>
      <c r="F98" s="12" t="s">
        <v>318</v>
      </c>
      <c r="G98" s="13" t="s">
        <v>403</v>
      </c>
      <c r="H98" s="12" t="s">
        <v>74</v>
      </c>
      <c r="I98" s="13" t="s">
        <v>404</v>
      </c>
      <c r="J98" s="12">
        <v>1</v>
      </c>
      <c r="K98" s="12"/>
    </row>
    <row r="99" spans="1:11">
      <c r="A99" s="2"/>
      <c r="B99" s="7">
        <f t="shared" si="2"/>
        <v>97</v>
      </c>
      <c r="C99" s="8" t="s">
        <v>293</v>
      </c>
      <c r="D99" s="9" t="s">
        <v>405</v>
      </c>
      <c r="E99" s="10" t="s">
        <v>406</v>
      </c>
      <c r="F99" s="9" t="s">
        <v>318</v>
      </c>
      <c r="G99" s="10" t="s">
        <v>407</v>
      </c>
      <c r="H99" s="9" t="s">
        <v>74</v>
      </c>
      <c r="I99" s="10" t="s">
        <v>408</v>
      </c>
      <c r="J99" s="9">
        <v>1</v>
      </c>
      <c r="K99" s="9"/>
    </row>
    <row r="100" spans="1:11">
      <c r="A100" s="2"/>
      <c r="B100" s="7">
        <f t="shared" ref="B100:B131" si="3">ROW(B100)-ROW($B$2)</f>
        <v>98</v>
      </c>
      <c r="C100" s="11" t="s">
        <v>303</v>
      </c>
      <c r="D100" s="12" t="s">
        <v>409</v>
      </c>
      <c r="E100" s="13" t="s">
        <v>410</v>
      </c>
      <c r="F100" s="12" t="s">
        <v>318</v>
      </c>
      <c r="G100" s="13" t="s">
        <v>411</v>
      </c>
      <c r="H100" s="12" t="s">
        <v>74</v>
      </c>
      <c r="I100" s="13" t="s">
        <v>412</v>
      </c>
      <c r="J100" s="12">
        <v>1</v>
      </c>
      <c r="K100" s="12"/>
    </row>
    <row r="101" spans="1:11">
      <c r="A101" s="2"/>
      <c r="B101" s="7">
        <f t="shared" si="3"/>
        <v>99</v>
      </c>
      <c r="C101" s="8" t="s">
        <v>303</v>
      </c>
      <c r="D101" s="9" t="s">
        <v>413</v>
      </c>
      <c r="E101" s="10" t="s">
        <v>414</v>
      </c>
      <c r="F101" s="9" t="s">
        <v>296</v>
      </c>
      <c r="G101" s="10" t="s">
        <v>415</v>
      </c>
      <c r="H101" s="9" t="s">
        <v>74</v>
      </c>
      <c r="I101" s="10" t="s">
        <v>416</v>
      </c>
      <c r="J101" s="9">
        <v>1</v>
      </c>
      <c r="K101" s="9"/>
    </row>
    <row r="102" spans="1:11">
      <c r="A102" s="2"/>
      <c r="B102" s="7">
        <f t="shared" si="3"/>
        <v>100</v>
      </c>
      <c r="C102" s="11" t="s">
        <v>303</v>
      </c>
      <c r="D102" s="12" t="s">
        <v>417</v>
      </c>
      <c r="E102" s="13" t="s">
        <v>418</v>
      </c>
      <c r="F102" s="12" t="s">
        <v>296</v>
      </c>
      <c r="G102" s="13" t="s">
        <v>419</v>
      </c>
      <c r="H102" s="12" t="s">
        <v>74</v>
      </c>
      <c r="I102" s="13" t="s">
        <v>420</v>
      </c>
      <c r="J102" s="12">
        <v>1</v>
      </c>
      <c r="K102" s="12"/>
    </row>
    <row r="103" spans="1:11">
      <c r="A103" s="2"/>
      <c r="B103" s="7">
        <f t="shared" si="3"/>
        <v>101</v>
      </c>
      <c r="C103" s="8" t="s">
        <v>293</v>
      </c>
      <c r="D103" s="9" t="s">
        <v>421</v>
      </c>
      <c r="E103" s="10" t="s">
        <v>422</v>
      </c>
      <c r="F103" s="9" t="s">
        <v>318</v>
      </c>
      <c r="G103" s="10" t="s">
        <v>423</v>
      </c>
      <c r="H103" s="9" t="s">
        <v>74</v>
      </c>
      <c r="I103" s="10" t="s">
        <v>424</v>
      </c>
      <c r="J103" s="9">
        <v>1</v>
      </c>
      <c r="K103" s="9"/>
    </row>
    <row r="104" spans="1:11">
      <c r="A104" s="2"/>
      <c r="B104" s="7">
        <f t="shared" si="3"/>
        <v>102</v>
      </c>
      <c r="C104" s="11" t="s">
        <v>303</v>
      </c>
      <c r="D104" s="12" t="s">
        <v>425</v>
      </c>
      <c r="E104" s="13" t="s">
        <v>426</v>
      </c>
      <c r="F104" s="12" t="s">
        <v>318</v>
      </c>
      <c r="G104" s="13" t="s">
        <v>427</v>
      </c>
      <c r="H104" s="12" t="s">
        <v>74</v>
      </c>
      <c r="I104" s="13" t="s">
        <v>428</v>
      </c>
      <c r="J104" s="12">
        <v>3</v>
      </c>
      <c r="K104" s="12"/>
    </row>
    <row r="105" spans="1:11">
      <c r="A105" s="2"/>
      <c r="B105" s="7">
        <f t="shared" si="3"/>
        <v>103</v>
      </c>
      <c r="C105" s="8" t="s">
        <v>293</v>
      </c>
      <c r="D105" s="9" t="s">
        <v>636</v>
      </c>
      <c r="E105" s="10" t="s">
        <v>429</v>
      </c>
      <c r="F105" s="9" t="s">
        <v>318</v>
      </c>
      <c r="G105" s="10" t="s">
        <v>430</v>
      </c>
      <c r="H105" s="9" t="s">
        <v>74</v>
      </c>
      <c r="I105" s="10" t="s">
        <v>431</v>
      </c>
      <c r="J105" s="9">
        <v>7</v>
      </c>
      <c r="K105" s="9" t="s">
        <v>637</v>
      </c>
    </row>
    <row r="106" spans="1:11">
      <c r="A106" s="2"/>
      <c r="B106" s="7">
        <f t="shared" si="3"/>
        <v>104</v>
      </c>
      <c r="C106" s="11" t="s">
        <v>293</v>
      </c>
      <c r="D106" s="12" t="s">
        <v>646</v>
      </c>
      <c r="E106" s="13" t="s">
        <v>432</v>
      </c>
      <c r="F106" s="12" t="s">
        <v>318</v>
      </c>
      <c r="G106" s="13" t="s">
        <v>433</v>
      </c>
      <c r="H106" s="12" t="s">
        <v>74</v>
      </c>
      <c r="I106" s="13" t="s">
        <v>434</v>
      </c>
      <c r="J106" s="12">
        <v>3</v>
      </c>
      <c r="K106" s="12" t="s">
        <v>647</v>
      </c>
    </row>
    <row r="107" spans="1:11">
      <c r="A107" s="2"/>
      <c r="B107" s="7">
        <f t="shared" si="3"/>
        <v>105</v>
      </c>
      <c r="C107" s="11" t="s">
        <v>293</v>
      </c>
      <c r="D107" s="9" t="s">
        <v>435</v>
      </c>
      <c r="E107" s="10" t="s">
        <v>436</v>
      </c>
      <c r="F107" s="9" t="s">
        <v>318</v>
      </c>
      <c r="G107" s="10" t="s">
        <v>437</v>
      </c>
      <c r="H107" s="9" t="s">
        <v>74</v>
      </c>
      <c r="I107" s="10" t="s">
        <v>438</v>
      </c>
      <c r="J107" s="9">
        <v>1</v>
      </c>
      <c r="K107" s="9"/>
    </row>
    <row r="108" spans="1:11">
      <c r="A108" s="2"/>
      <c r="B108" s="7">
        <f t="shared" si="3"/>
        <v>106</v>
      </c>
      <c r="C108" s="11" t="s">
        <v>293</v>
      </c>
      <c r="D108" s="12" t="s">
        <v>439</v>
      </c>
      <c r="E108" s="13" t="s">
        <v>440</v>
      </c>
      <c r="F108" s="12" t="s">
        <v>318</v>
      </c>
      <c r="G108" s="13" t="s">
        <v>441</v>
      </c>
      <c r="H108" s="12" t="s">
        <v>74</v>
      </c>
      <c r="I108" s="13" t="s">
        <v>442</v>
      </c>
      <c r="J108" s="12">
        <v>1</v>
      </c>
      <c r="K108" s="12"/>
    </row>
    <row r="109" spans="1:11">
      <c r="A109" s="2"/>
      <c r="B109" s="7">
        <f t="shared" si="3"/>
        <v>107</v>
      </c>
      <c r="C109" s="8" t="s">
        <v>293</v>
      </c>
      <c r="D109" s="14" t="s">
        <v>443</v>
      </c>
      <c r="E109" s="15" t="s">
        <v>386</v>
      </c>
      <c r="F109" s="14" t="s">
        <v>318</v>
      </c>
      <c r="G109" s="15" t="s">
        <v>387</v>
      </c>
      <c r="H109" s="14" t="s">
        <v>74</v>
      </c>
      <c r="I109" s="15" t="s">
        <v>136</v>
      </c>
      <c r="J109" s="14">
        <v>1</v>
      </c>
      <c r="K109" s="16" t="s">
        <v>137</v>
      </c>
    </row>
    <row r="110" spans="1:11">
      <c r="A110" s="2"/>
      <c r="B110" s="7">
        <f t="shared" si="3"/>
        <v>108</v>
      </c>
      <c r="C110" s="11" t="s">
        <v>293</v>
      </c>
      <c r="D110" s="12" t="s">
        <v>444</v>
      </c>
      <c r="E110" s="13" t="s">
        <v>445</v>
      </c>
      <c r="F110" s="12" t="s">
        <v>318</v>
      </c>
      <c r="G110" s="13" t="s">
        <v>446</v>
      </c>
      <c r="H110" s="12" t="s">
        <v>74</v>
      </c>
      <c r="I110" s="13" t="s">
        <v>447</v>
      </c>
      <c r="J110" s="12">
        <v>1</v>
      </c>
      <c r="K110" s="12"/>
    </row>
    <row r="111" spans="1:11" ht="36">
      <c r="A111" s="2"/>
      <c r="B111" s="7">
        <f t="shared" si="3"/>
        <v>109</v>
      </c>
      <c r="C111" s="8" t="s">
        <v>303</v>
      </c>
      <c r="D111" s="9" t="s">
        <v>448</v>
      </c>
      <c r="E111" s="10" t="s">
        <v>449</v>
      </c>
      <c r="F111" s="9" t="s">
        <v>296</v>
      </c>
      <c r="G111" s="10" t="s">
        <v>450</v>
      </c>
      <c r="H111" s="9" t="s">
        <v>74</v>
      </c>
      <c r="I111" s="10" t="s">
        <v>451</v>
      </c>
      <c r="J111" s="9">
        <v>1</v>
      </c>
      <c r="K111" s="9"/>
    </row>
    <row r="112" spans="1:11">
      <c r="A112" s="2"/>
      <c r="B112" s="7">
        <f t="shared" si="3"/>
        <v>110</v>
      </c>
      <c r="C112" s="11" t="s">
        <v>303</v>
      </c>
      <c r="D112" s="12" t="s">
        <v>452</v>
      </c>
      <c r="E112" s="13" t="s">
        <v>453</v>
      </c>
      <c r="F112" s="12" t="s">
        <v>318</v>
      </c>
      <c r="G112" s="13" t="s">
        <v>454</v>
      </c>
      <c r="H112" s="12" t="s">
        <v>74</v>
      </c>
      <c r="I112" s="13" t="s">
        <v>455</v>
      </c>
      <c r="J112" s="12">
        <v>1</v>
      </c>
      <c r="K112" s="12"/>
    </row>
    <row r="113" spans="1:11">
      <c r="A113" s="2"/>
      <c r="B113" s="7">
        <f t="shared" si="3"/>
        <v>111</v>
      </c>
      <c r="C113" s="8" t="s">
        <v>293</v>
      </c>
      <c r="D113" s="9" t="s">
        <v>456</v>
      </c>
      <c r="E113" s="10" t="s">
        <v>457</v>
      </c>
      <c r="F113" s="9" t="s">
        <v>318</v>
      </c>
      <c r="G113" s="10" t="s">
        <v>458</v>
      </c>
      <c r="H113" s="9" t="s">
        <v>74</v>
      </c>
      <c r="I113" s="10" t="s">
        <v>459</v>
      </c>
      <c r="J113" s="9">
        <v>1</v>
      </c>
      <c r="K113" s="9"/>
    </row>
    <row r="114" spans="1:11">
      <c r="A114" s="2"/>
      <c r="B114" s="7">
        <f t="shared" si="3"/>
        <v>112</v>
      </c>
      <c r="C114" s="11" t="s">
        <v>293</v>
      </c>
      <c r="D114" s="12" t="s">
        <v>460</v>
      </c>
      <c r="E114" s="13" t="s">
        <v>461</v>
      </c>
      <c r="F114" s="12" t="s">
        <v>318</v>
      </c>
      <c r="G114" s="13" t="s">
        <v>462</v>
      </c>
      <c r="H114" s="12" t="s">
        <v>74</v>
      </c>
      <c r="I114" s="13" t="s">
        <v>339</v>
      </c>
      <c r="J114" s="12">
        <v>1</v>
      </c>
      <c r="K114" s="12"/>
    </row>
    <row r="115" spans="1:11">
      <c r="A115" s="2"/>
      <c r="B115" s="7">
        <f t="shared" si="3"/>
        <v>113</v>
      </c>
      <c r="C115" s="8" t="s">
        <v>293</v>
      </c>
      <c r="D115" s="14" t="s">
        <v>463</v>
      </c>
      <c r="E115" s="15" t="s">
        <v>429</v>
      </c>
      <c r="F115" s="14" t="s">
        <v>318</v>
      </c>
      <c r="G115" s="15" t="s">
        <v>430</v>
      </c>
      <c r="H115" s="14" t="s">
        <v>74</v>
      </c>
      <c r="I115" s="15" t="s">
        <v>136</v>
      </c>
      <c r="J115" s="14">
        <v>1</v>
      </c>
      <c r="K115" s="16" t="s">
        <v>137</v>
      </c>
    </row>
    <row r="116" spans="1:11">
      <c r="A116" s="2"/>
      <c r="B116" s="7">
        <f t="shared" si="3"/>
        <v>114</v>
      </c>
      <c r="C116" s="11" t="s">
        <v>303</v>
      </c>
      <c r="D116" s="12" t="s">
        <v>464</v>
      </c>
      <c r="E116" s="13" t="s">
        <v>465</v>
      </c>
      <c r="F116" s="12" t="s">
        <v>318</v>
      </c>
      <c r="G116" s="13" t="s">
        <v>466</v>
      </c>
      <c r="H116" s="12" t="s">
        <v>74</v>
      </c>
      <c r="I116" s="13" t="s">
        <v>298</v>
      </c>
      <c r="J116" s="12">
        <v>1</v>
      </c>
      <c r="K116" s="12"/>
    </row>
    <row r="117" spans="1:11">
      <c r="A117" s="2"/>
      <c r="B117" s="7">
        <f t="shared" si="3"/>
        <v>115</v>
      </c>
      <c r="C117" s="8" t="s">
        <v>293</v>
      </c>
      <c r="D117" s="14" t="s">
        <v>467</v>
      </c>
      <c r="E117" s="15" t="s">
        <v>461</v>
      </c>
      <c r="F117" s="14" t="s">
        <v>318</v>
      </c>
      <c r="G117" s="15" t="s">
        <v>462</v>
      </c>
      <c r="H117" s="14" t="s">
        <v>74</v>
      </c>
      <c r="I117" s="15" t="s">
        <v>136</v>
      </c>
      <c r="J117" s="14">
        <v>1</v>
      </c>
      <c r="K117" s="16" t="s">
        <v>137</v>
      </c>
    </row>
    <row r="118" spans="1:11">
      <c r="A118" s="2"/>
      <c r="B118" s="7">
        <f t="shared" si="3"/>
        <v>116</v>
      </c>
      <c r="C118" s="11" t="s">
        <v>293</v>
      </c>
      <c r="D118" s="12" t="s">
        <v>468</v>
      </c>
      <c r="E118" s="13" t="s">
        <v>469</v>
      </c>
      <c r="F118" s="12" t="s">
        <v>318</v>
      </c>
      <c r="G118" s="13" t="s">
        <v>470</v>
      </c>
      <c r="H118" s="12" t="s">
        <v>74</v>
      </c>
      <c r="I118" s="13" t="s">
        <v>471</v>
      </c>
      <c r="J118" s="12">
        <v>4</v>
      </c>
      <c r="K118" s="12"/>
    </row>
    <row r="119" spans="1:11">
      <c r="A119" s="2"/>
      <c r="B119" s="7">
        <f t="shared" si="3"/>
        <v>117</v>
      </c>
      <c r="C119" s="8" t="s">
        <v>293</v>
      </c>
      <c r="D119" s="9" t="s">
        <v>472</v>
      </c>
      <c r="E119" s="10" t="s">
        <v>473</v>
      </c>
      <c r="F119" s="9" t="s">
        <v>318</v>
      </c>
      <c r="G119" s="10" t="s">
        <v>474</v>
      </c>
      <c r="H119" s="9" t="s">
        <v>74</v>
      </c>
      <c r="I119" s="10" t="s">
        <v>342</v>
      </c>
      <c r="J119" s="9">
        <v>1</v>
      </c>
      <c r="K119" s="9"/>
    </row>
    <row r="120" spans="1:11">
      <c r="A120" s="2"/>
      <c r="B120" s="7">
        <f t="shared" si="3"/>
        <v>118</v>
      </c>
      <c r="C120" s="11" t="s">
        <v>293</v>
      </c>
      <c r="D120" s="14" t="s">
        <v>475</v>
      </c>
      <c r="E120" s="15" t="s">
        <v>445</v>
      </c>
      <c r="F120" s="14" t="s">
        <v>318</v>
      </c>
      <c r="G120" s="15" t="s">
        <v>446</v>
      </c>
      <c r="H120" s="14" t="s">
        <v>74</v>
      </c>
      <c r="I120" s="15" t="s">
        <v>136</v>
      </c>
      <c r="J120" s="14">
        <v>1</v>
      </c>
      <c r="K120" s="16" t="s">
        <v>137</v>
      </c>
    </row>
    <row r="121" spans="1:11">
      <c r="A121" s="2"/>
      <c r="B121" s="7">
        <f t="shared" si="3"/>
        <v>119</v>
      </c>
      <c r="C121" s="11" t="s">
        <v>293</v>
      </c>
      <c r="D121" s="14" t="s">
        <v>476</v>
      </c>
      <c r="E121" s="15" t="s">
        <v>348</v>
      </c>
      <c r="F121" s="14" t="s">
        <v>296</v>
      </c>
      <c r="G121" s="15" t="s">
        <v>349</v>
      </c>
      <c r="H121" s="14" t="s">
        <v>74</v>
      </c>
      <c r="I121" s="15" t="s">
        <v>136</v>
      </c>
      <c r="J121" s="14">
        <v>1</v>
      </c>
      <c r="K121" s="16" t="s">
        <v>137</v>
      </c>
    </row>
    <row r="122" spans="1:11">
      <c r="A122" s="2"/>
      <c r="B122" s="7">
        <f t="shared" si="3"/>
        <v>120</v>
      </c>
      <c r="C122" s="11" t="s">
        <v>293</v>
      </c>
      <c r="D122" s="9" t="s">
        <v>477</v>
      </c>
      <c r="E122" s="10" t="s">
        <v>478</v>
      </c>
      <c r="F122" s="9" t="s">
        <v>296</v>
      </c>
      <c r="G122" s="10" t="s">
        <v>479</v>
      </c>
      <c r="H122" s="9" t="s">
        <v>74</v>
      </c>
      <c r="I122" s="10" t="s">
        <v>480</v>
      </c>
      <c r="J122" s="9">
        <v>1</v>
      </c>
      <c r="K122" s="9"/>
    </row>
    <row r="123" spans="1:11">
      <c r="A123" s="2"/>
      <c r="B123" s="7">
        <f t="shared" si="3"/>
        <v>121</v>
      </c>
      <c r="C123" s="11" t="s">
        <v>481</v>
      </c>
      <c r="D123" s="12" t="s">
        <v>482</v>
      </c>
      <c r="E123" s="13" t="s">
        <v>483</v>
      </c>
      <c r="F123" s="9" t="s">
        <v>34</v>
      </c>
      <c r="G123" s="13" t="s">
        <v>484</v>
      </c>
      <c r="H123" s="12" t="s">
        <v>485</v>
      </c>
      <c r="I123" s="13" t="s">
        <v>155</v>
      </c>
      <c r="J123" s="12">
        <v>1</v>
      </c>
      <c r="K123" s="12"/>
    </row>
    <row r="124" spans="1:11" ht="48">
      <c r="A124" s="2"/>
      <c r="B124" s="7">
        <f t="shared" si="3"/>
        <v>122</v>
      </c>
      <c r="C124" s="8" t="s">
        <v>486</v>
      </c>
      <c r="D124" s="9" t="s">
        <v>487</v>
      </c>
      <c r="E124" s="10" t="s">
        <v>488</v>
      </c>
      <c r="F124" s="9" t="s">
        <v>34</v>
      </c>
      <c r="G124" s="10" t="s">
        <v>489</v>
      </c>
      <c r="H124" s="9" t="s">
        <v>490</v>
      </c>
      <c r="I124" s="13" t="s">
        <v>155</v>
      </c>
      <c r="J124" s="9">
        <v>1</v>
      </c>
      <c r="K124" s="9"/>
    </row>
    <row r="125" spans="1:11" ht="36">
      <c r="A125" s="2"/>
      <c r="B125" s="7">
        <f t="shared" si="3"/>
        <v>123</v>
      </c>
      <c r="C125" s="11" t="s">
        <v>486</v>
      </c>
      <c r="D125" s="12" t="s">
        <v>491</v>
      </c>
      <c r="E125" s="13" t="s">
        <v>625</v>
      </c>
      <c r="F125" s="9" t="s">
        <v>34</v>
      </c>
      <c r="G125" s="13" t="s">
        <v>624</v>
      </c>
      <c r="H125" s="12" t="s">
        <v>490</v>
      </c>
      <c r="I125" s="13" t="s">
        <v>155</v>
      </c>
      <c r="J125" s="12">
        <v>4</v>
      </c>
      <c r="K125" s="12" t="s">
        <v>632</v>
      </c>
    </row>
    <row r="126" spans="1:11" ht="24">
      <c r="A126" s="2"/>
      <c r="B126" s="7">
        <f t="shared" si="3"/>
        <v>124</v>
      </c>
      <c r="C126" s="8" t="s">
        <v>492</v>
      </c>
      <c r="D126" s="9" t="s">
        <v>493</v>
      </c>
      <c r="E126" s="10" t="s">
        <v>494</v>
      </c>
      <c r="F126" s="9" t="s">
        <v>495</v>
      </c>
      <c r="G126" s="10" t="s">
        <v>496</v>
      </c>
      <c r="H126" s="9" t="s">
        <v>497</v>
      </c>
      <c r="I126" s="13" t="s">
        <v>155</v>
      </c>
      <c r="J126" s="9">
        <v>1</v>
      </c>
      <c r="K126" s="9"/>
    </row>
    <row r="127" spans="1:11">
      <c r="A127" s="2"/>
      <c r="B127" s="7">
        <f t="shared" si="3"/>
        <v>125</v>
      </c>
      <c r="C127" s="11" t="s">
        <v>492</v>
      </c>
      <c r="D127" s="12" t="s">
        <v>498</v>
      </c>
      <c r="E127" s="13" t="s">
        <v>499</v>
      </c>
      <c r="F127" s="12" t="s">
        <v>500</v>
      </c>
      <c r="G127" s="13" t="s">
        <v>501</v>
      </c>
      <c r="H127" s="12" t="s">
        <v>502</v>
      </c>
      <c r="I127" s="13" t="s">
        <v>155</v>
      </c>
      <c r="J127" s="12">
        <v>1</v>
      </c>
      <c r="K127" s="12"/>
    </row>
    <row r="128" spans="1:11">
      <c r="A128" s="2"/>
      <c r="B128" s="7">
        <f t="shared" si="3"/>
        <v>126</v>
      </c>
      <c r="C128" s="8" t="s">
        <v>492</v>
      </c>
      <c r="D128" s="9" t="s">
        <v>503</v>
      </c>
      <c r="E128" s="10" t="s">
        <v>504</v>
      </c>
      <c r="F128" s="9" t="s">
        <v>505</v>
      </c>
      <c r="G128" s="10" t="s">
        <v>506</v>
      </c>
      <c r="H128" s="9" t="s">
        <v>507</v>
      </c>
      <c r="I128" s="13" t="s">
        <v>155</v>
      </c>
      <c r="J128" s="9">
        <v>1</v>
      </c>
      <c r="K128" s="9"/>
    </row>
    <row r="129" spans="1:11" ht="24">
      <c r="A129" s="2"/>
      <c r="B129" s="7">
        <f t="shared" si="3"/>
        <v>127</v>
      </c>
      <c r="C129" s="11" t="s">
        <v>492</v>
      </c>
      <c r="D129" s="12" t="s">
        <v>508</v>
      </c>
      <c r="E129" s="13" t="s">
        <v>509</v>
      </c>
      <c r="F129" s="12" t="s">
        <v>510</v>
      </c>
      <c r="G129" s="13" t="s">
        <v>511</v>
      </c>
      <c r="H129" s="12" t="s">
        <v>512</v>
      </c>
      <c r="I129" s="13" t="s">
        <v>155</v>
      </c>
      <c r="J129" s="12">
        <v>1</v>
      </c>
      <c r="K129" s="12"/>
    </row>
    <row r="130" spans="1:11">
      <c r="A130" s="2"/>
      <c r="B130" s="7">
        <f t="shared" si="3"/>
        <v>128</v>
      </c>
      <c r="C130" s="8" t="s">
        <v>492</v>
      </c>
      <c r="D130" s="9" t="s">
        <v>513</v>
      </c>
      <c r="E130" s="10" t="s">
        <v>514</v>
      </c>
      <c r="F130" s="9" t="s">
        <v>515</v>
      </c>
      <c r="G130" s="10" t="s">
        <v>516</v>
      </c>
      <c r="H130" s="9" t="s">
        <v>185</v>
      </c>
      <c r="I130" s="13" t="s">
        <v>155</v>
      </c>
      <c r="J130" s="9">
        <v>1</v>
      </c>
      <c r="K130" s="9"/>
    </row>
    <row r="131" spans="1:11">
      <c r="A131" s="2"/>
      <c r="B131" s="7">
        <f t="shared" si="3"/>
        <v>129</v>
      </c>
      <c r="C131" s="11" t="s">
        <v>492</v>
      </c>
      <c r="D131" s="12" t="s">
        <v>517</v>
      </c>
      <c r="E131" s="13" t="s">
        <v>518</v>
      </c>
      <c r="F131" s="12" t="s">
        <v>519</v>
      </c>
      <c r="G131" s="13" t="s">
        <v>520</v>
      </c>
      <c r="H131" s="12" t="s">
        <v>185</v>
      </c>
      <c r="I131" s="13" t="s">
        <v>155</v>
      </c>
      <c r="J131" s="12">
        <v>1</v>
      </c>
      <c r="K131" s="12"/>
    </row>
    <row r="132" spans="1:11">
      <c r="A132" s="2"/>
      <c r="B132" s="7">
        <f t="shared" ref="B132:B156" si="4">ROW(B132)-ROW($B$2)</f>
        <v>130</v>
      </c>
      <c r="C132" s="8" t="s">
        <v>492</v>
      </c>
      <c r="D132" s="9" t="s">
        <v>521</v>
      </c>
      <c r="E132" s="10" t="s">
        <v>522</v>
      </c>
      <c r="F132" s="9" t="s">
        <v>523</v>
      </c>
      <c r="G132" s="10" t="s">
        <v>524</v>
      </c>
      <c r="H132" s="9" t="s">
        <v>185</v>
      </c>
      <c r="I132" s="13" t="s">
        <v>155</v>
      </c>
      <c r="J132" s="9">
        <v>1</v>
      </c>
      <c r="K132" s="9"/>
    </row>
    <row r="133" spans="1:11">
      <c r="A133" s="2"/>
      <c r="B133" s="7">
        <f t="shared" si="4"/>
        <v>131</v>
      </c>
      <c r="C133" s="11" t="s">
        <v>492</v>
      </c>
      <c r="D133" s="12" t="s">
        <v>525</v>
      </c>
      <c r="E133" s="13" t="s">
        <v>526</v>
      </c>
      <c r="F133" s="12" t="s">
        <v>527</v>
      </c>
      <c r="G133" s="13" t="s">
        <v>528</v>
      </c>
      <c r="H133" s="12" t="s">
        <v>185</v>
      </c>
      <c r="I133" s="13" t="s">
        <v>155</v>
      </c>
      <c r="J133" s="12">
        <v>1</v>
      </c>
      <c r="K133" s="12"/>
    </row>
    <row r="134" spans="1:11">
      <c r="A134" s="2"/>
      <c r="B134" s="7">
        <f t="shared" si="4"/>
        <v>132</v>
      </c>
      <c r="C134" s="8" t="s">
        <v>492</v>
      </c>
      <c r="D134" s="9" t="s">
        <v>529</v>
      </c>
      <c r="E134" s="10" t="s">
        <v>530</v>
      </c>
      <c r="F134" s="9" t="s">
        <v>281</v>
      </c>
      <c r="G134" s="10" t="s">
        <v>531</v>
      </c>
      <c r="H134" s="9" t="s">
        <v>532</v>
      </c>
      <c r="I134" s="13" t="s">
        <v>155</v>
      </c>
      <c r="J134" s="9">
        <v>1</v>
      </c>
      <c r="K134" s="9"/>
    </row>
    <row r="135" spans="1:11">
      <c r="A135" s="2"/>
      <c r="B135" s="7">
        <f t="shared" si="4"/>
        <v>133</v>
      </c>
      <c r="C135" s="11" t="s">
        <v>492</v>
      </c>
      <c r="D135" s="12" t="s">
        <v>533</v>
      </c>
      <c r="E135" s="13" t="s">
        <v>534</v>
      </c>
      <c r="F135" s="12" t="s">
        <v>535</v>
      </c>
      <c r="G135" s="13" t="s">
        <v>536</v>
      </c>
      <c r="H135" s="12" t="s">
        <v>185</v>
      </c>
      <c r="I135" s="13" t="s">
        <v>155</v>
      </c>
      <c r="J135" s="12">
        <v>1</v>
      </c>
      <c r="K135" s="12"/>
    </row>
    <row r="136" spans="1:11">
      <c r="A136" s="2"/>
      <c r="B136" s="7">
        <f t="shared" si="4"/>
        <v>134</v>
      </c>
      <c r="C136" s="8" t="s">
        <v>492</v>
      </c>
      <c r="D136" s="9" t="s">
        <v>537</v>
      </c>
      <c r="E136" s="10" t="s">
        <v>538</v>
      </c>
      <c r="F136" s="9" t="s">
        <v>539</v>
      </c>
      <c r="G136" s="10" t="s">
        <v>540</v>
      </c>
      <c r="H136" s="9" t="s">
        <v>541</v>
      </c>
      <c r="I136" s="13" t="s">
        <v>155</v>
      </c>
      <c r="J136" s="9">
        <v>1</v>
      </c>
      <c r="K136" s="9"/>
    </row>
    <row r="137" spans="1:11">
      <c r="A137" s="2"/>
      <c r="B137" s="7">
        <f t="shared" si="4"/>
        <v>135</v>
      </c>
      <c r="C137" s="11" t="s">
        <v>492</v>
      </c>
      <c r="D137" s="12" t="s">
        <v>542</v>
      </c>
      <c r="E137" s="13" t="s">
        <v>543</v>
      </c>
      <c r="F137" s="12" t="s">
        <v>544</v>
      </c>
      <c r="G137" s="13" t="s">
        <v>545</v>
      </c>
      <c r="H137" s="12" t="s">
        <v>185</v>
      </c>
      <c r="I137" s="13" t="s">
        <v>155</v>
      </c>
      <c r="J137" s="12">
        <v>1</v>
      </c>
      <c r="K137" s="12"/>
    </row>
    <row r="138" spans="1:11">
      <c r="A138" s="2"/>
      <c r="B138" s="7">
        <f t="shared" si="4"/>
        <v>136</v>
      </c>
      <c r="C138" s="8" t="s">
        <v>492</v>
      </c>
      <c r="D138" s="9" t="s">
        <v>546</v>
      </c>
      <c r="E138" s="10" t="s">
        <v>547</v>
      </c>
      <c r="F138" s="9" t="s">
        <v>548</v>
      </c>
      <c r="G138" s="10" t="s">
        <v>549</v>
      </c>
      <c r="H138" s="9" t="s">
        <v>185</v>
      </c>
      <c r="I138" s="13" t="s">
        <v>155</v>
      </c>
      <c r="J138" s="9">
        <v>1</v>
      </c>
      <c r="K138" s="9"/>
    </row>
    <row r="139" spans="1:11">
      <c r="A139" s="2"/>
      <c r="B139" s="7">
        <f t="shared" si="4"/>
        <v>137</v>
      </c>
      <c r="C139" s="11" t="s">
        <v>492</v>
      </c>
      <c r="D139" s="12" t="s">
        <v>550</v>
      </c>
      <c r="E139" s="13" t="s">
        <v>551</v>
      </c>
      <c r="F139" s="9" t="s">
        <v>34</v>
      </c>
      <c r="G139" s="13" t="s">
        <v>552</v>
      </c>
      <c r="H139" s="12" t="s">
        <v>553</v>
      </c>
      <c r="I139" s="13" t="s">
        <v>155</v>
      </c>
      <c r="J139" s="12">
        <v>1</v>
      </c>
      <c r="K139" s="12"/>
    </row>
    <row r="140" spans="1:11">
      <c r="A140" s="2"/>
      <c r="B140" s="7">
        <f t="shared" si="4"/>
        <v>138</v>
      </c>
      <c r="C140" s="8" t="s">
        <v>492</v>
      </c>
      <c r="D140" s="9" t="s">
        <v>554</v>
      </c>
      <c r="E140" s="10" t="s">
        <v>555</v>
      </c>
      <c r="F140" s="9" t="s">
        <v>556</v>
      </c>
      <c r="G140" s="10" t="s">
        <v>557</v>
      </c>
      <c r="H140" s="9" t="s">
        <v>185</v>
      </c>
      <c r="I140" s="13" t="s">
        <v>155</v>
      </c>
      <c r="J140" s="9">
        <v>1</v>
      </c>
      <c r="K140" s="9"/>
    </row>
    <row r="141" spans="1:11">
      <c r="A141" s="2"/>
      <c r="B141" s="7">
        <f t="shared" si="4"/>
        <v>139</v>
      </c>
      <c r="C141" s="11" t="s">
        <v>492</v>
      </c>
      <c r="D141" s="12" t="s">
        <v>558</v>
      </c>
      <c r="E141" s="13" t="s">
        <v>559</v>
      </c>
      <c r="F141" s="12" t="s">
        <v>560</v>
      </c>
      <c r="G141" s="13" t="s">
        <v>561</v>
      </c>
      <c r="H141" s="12" t="s">
        <v>507</v>
      </c>
      <c r="I141" s="13" t="s">
        <v>155</v>
      </c>
      <c r="J141" s="12">
        <v>1</v>
      </c>
      <c r="K141" s="12"/>
    </row>
    <row r="142" spans="1:11" ht="36">
      <c r="A142" s="2"/>
      <c r="B142" s="7">
        <f t="shared" si="4"/>
        <v>140</v>
      </c>
      <c r="C142" s="8" t="s">
        <v>149</v>
      </c>
      <c r="D142" s="9" t="s">
        <v>562</v>
      </c>
      <c r="E142" s="10" t="s">
        <v>563</v>
      </c>
      <c r="F142" s="9" t="s">
        <v>564</v>
      </c>
      <c r="G142" s="10" t="s">
        <v>565</v>
      </c>
      <c r="H142" s="9" t="s">
        <v>566</v>
      </c>
      <c r="I142" s="13" t="s">
        <v>155</v>
      </c>
      <c r="J142" s="9">
        <v>1</v>
      </c>
      <c r="K142" s="9" t="s">
        <v>626</v>
      </c>
    </row>
    <row r="143" spans="1:11">
      <c r="A143" s="2"/>
      <c r="B143" s="7">
        <f t="shared" si="4"/>
        <v>141</v>
      </c>
      <c r="C143" s="11" t="s">
        <v>492</v>
      </c>
      <c r="D143" s="12" t="s">
        <v>567</v>
      </c>
      <c r="E143" s="13" t="s">
        <v>568</v>
      </c>
      <c r="F143" s="12" t="s">
        <v>569</v>
      </c>
      <c r="G143" s="13" t="s">
        <v>570</v>
      </c>
      <c r="H143" s="12" t="s">
        <v>185</v>
      </c>
      <c r="I143" s="13" t="s">
        <v>155</v>
      </c>
      <c r="J143" s="12">
        <v>1</v>
      </c>
      <c r="K143" s="12" t="s">
        <v>626</v>
      </c>
    </row>
    <row r="144" spans="1:11" ht="48">
      <c r="A144" s="2"/>
      <c r="B144" s="7">
        <f t="shared" si="4"/>
        <v>142</v>
      </c>
      <c r="C144" s="8" t="s">
        <v>571</v>
      </c>
      <c r="D144" s="9" t="s">
        <v>572</v>
      </c>
      <c r="E144" s="10" t="s">
        <v>573</v>
      </c>
      <c r="F144" s="9" t="s">
        <v>34</v>
      </c>
      <c r="G144" s="10" t="s">
        <v>574</v>
      </c>
      <c r="H144" s="9" t="s">
        <v>575</v>
      </c>
      <c r="I144" s="13" t="s">
        <v>155</v>
      </c>
      <c r="J144" s="9">
        <v>1</v>
      </c>
      <c r="K144" s="9" t="s">
        <v>626</v>
      </c>
    </row>
    <row r="145" spans="1:11">
      <c r="A145" s="2"/>
      <c r="B145" s="7">
        <f t="shared" si="4"/>
        <v>143</v>
      </c>
      <c r="C145" s="11" t="s">
        <v>492</v>
      </c>
      <c r="D145" s="12" t="s">
        <v>576</v>
      </c>
      <c r="E145" s="13" t="s">
        <v>577</v>
      </c>
      <c r="F145" s="12" t="s">
        <v>578</v>
      </c>
      <c r="G145" s="13" t="s">
        <v>579</v>
      </c>
      <c r="H145" s="12" t="s">
        <v>166</v>
      </c>
      <c r="I145" s="13" t="s">
        <v>155</v>
      </c>
      <c r="J145" s="12">
        <v>1</v>
      </c>
      <c r="K145" s="12" t="s">
        <v>626</v>
      </c>
    </row>
    <row r="146" spans="1:11" ht="36">
      <c r="A146" s="2"/>
      <c r="B146" s="7">
        <f t="shared" si="4"/>
        <v>144</v>
      </c>
      <c r="C146" s="8" t="s">
        <v>580</v>
      </c>
      <c r="D146" s="9" t="s">
        <v>581</v>
      </c>
      <c r="E146" s="10" t="s">
        <v>582</v>
      </c>
      <c r="F146" s="9" t="s">
        <v>583</v>
      </c>
      <c r="G146" s="10" t="s">
        <v>584</v>
      </c>
      <c r="H146" s="9" t="s">
        <v>585</v>
      </c>
      <c r="I146" s="10" t="s">
        <v>586</v>
      </c>
      <c r="J146" s="9">
        <v>1</v>
      </c>
      <c r="K146" s="9"/>
    </row>
    <row r="147" spans="1:11">
      <c r="A147" s="2"/>
      <c r="B147" s="7">
        <f t="shared" si="4"/>
        <v>145</v>
      </c>
      <c r="C147" s="11" t="s">
        <v>587</v>
      </c>
      <c r="D147" s="12" t="s">
        <v>588</v>
      </c>
      <c r="E147" s="13" t="s">
        <v>589</v>
      </c>
      <c r="F147" s="12" t="s">
        <v>590</v>
      </c>
      <c r="G147" s="13" t="s">
        <v>591</v>
      </c>
      <c r="H147" s="12" t="s">
        <v>592</v>
      </c>
      <c r="I147" s="13" t="s">
        <v>593</v>
      </c>
      <c r="J147" s="12">
        <v>2</v>
      </c>
      <c r="K147" s="12"/>
    </row>
    <row r="148" spans="1:11" ht="36">
      <c r="A148" s="2"/>
      <c r="B148" s="7">
        <f t="shared" si="4"/>
        <v>146</v>
      </c>
      <c r="C148" s="8" t="s">
        <v>594</v>
      </c>
      <c r="D148" s="9" t="s">
        <v>595</v>
      </c>
      <c r="E148" s="10" t="s">
        <v>596</v>
      </c>
      <c r="F148" s="9" t="s">
        <v>597</v>
      </c>
      <c r="G148" s="10" t="s">
        <v>598</v>
      </c>
      <c r="H148" s="9" t="s">
        <v>599</v>
      </c>
      <c r="I148" s="10" t="s">
        <v>586</v>
      </c>
      <c r="J148" s="9">
        <v>1</v>
      </c>
      <c r="K148" s="9"/>
    </row>
    <row r="149" spans="1:11" ht="24">
      <c r="A149" s="2"/>
      <c r="B149" s="7"/>
      <c r="C149" s="8" t="s">
        <v>648</v>
      </c>
      <c r="D149" s="9" t="s">
        <v>649</v>
      </c>
      <c r="E149" s="10" t="s">
        <v>155</v>
      </c>
      <c r="F149" s="9" t="s">
        <v>155</v>
      </c>
      <c r="G149" s="10" t="s">
        <v>155</v>
      </c>
      <c r="H149" s="9" t="s">
        <v>155</v>
      </c>
      <c r="I149" s="10" t="s">
        <v>650</v>
      </c>
      <c r="J149" s="9">
        <v>1</v>
      </c>
      <c r="K149" s="9"/>
    </row>
    <row r="150" spans="1:11">
      <c r="B150" s="7">
        <f t="shared" si="4"/>
        <v>148</v>
      </c>
      <c r="C150" s="8" t="s">
        <v>600</v>
      </c>
      <c r="D150" s="9" t="s">
        <v>155</v>
      </c>
      <c r="E150" s="10" t="s">
        <v>601</v>
      </c>
      <c r="F150" s="9" t="s">
        <v>34</v>
      </c>
      <c r="G150" s="10" t="s">
        <v>602</v>
      </c>
      <c r="H150" s="9" t="s">
        <v>603</v>
      </c>
      <c r="I150" s="10" t="s">
        <v>155</v>
      </c>
      <c r="J150" s="9">
        <v>2</v>
      </c>
      <c r="K150" s="9"/>
    </row>
    <row r="151" spans="1:11" ht="27.6">
      <c r="B151" s="7">
        <f t="shared" si="4"/>
        <v>149</v>
      </c>
      <c r="C151" s="8" t="s">
        <v>600</v>
      </c>
      <c r="D151" s="9" t="s">
        <v>155</v>
      </c>
      <c r="E151" s="10" t="s">
        <v>604</v>
      </c>
      <c r="F151" s="12" t="s">
        <v>34</v>
      </c>
      <c r="G151" s="10" t="s">
        <v>605</v>
      </c>
      <c r="H151" s="9" t="s">
        <v>606</v>
      </c>
      <c r="I151" s="10" t="s">
        <v>155</v>
      </c>
      <c r="J151" s="9">
        <v>1</v>
      </c>
      <c r="K151" s="17" t="s">
        <v>607</v>
      </c>
    </row>
    <row r="152" spans="1:11" ht="36">
      <c r="B152" s="7">
        <f t="shared" si="4"/>
        <v>150</v>
      </c>
      <c r="C152" s="8" t="s">
        <v>600</v>
      </c>
      <c r="D152" s="9" t="s">
        <v>155</v>
      </c>
      <c r="E152" s="13" t="s">
        <v>608</v>
      </c>
      <c r="F152" s="12" t="s">
        <v>34</v>
      </c>
      <c r="G152" s="13" t="s">
        <v>609</v>
      </c>
      <c r="H152" s="12" t="s">
        <v>610</v>
      </c>
      <c r="I152" s="13" t="s">
        <v>155</v>
      </c>
      <c r="J152" s="12">
        <v>1</v>
      </c>
      <c r="K152" s="12"/>
    </row>
    <row r="153" spans="1:11" ht="24">
      <c r="B153" s="7">
        <f t="shared" si="4"/>
        <v>151</v>
      </c>
      <c r="C153" s="8" t="s">
        <v>600</v>
      </c>
      <c r="D153" s="9" t="s">
        <v>155</v>
      </c>
      <c r="E153" s="13" t="s">
        <v>611</v>
      </c>
      <c r="F153" s="12" t="s">
        <v>34</v>
      </c>
      <c r="G153" s="13" t="s">
        <v>612</v>
      </c>
      <c r="H153" s="12" t="s">
        <v>613</v>
      </c>
      <c r="I153" s="13" t="s">
        <v>155</v>
      </c>
      <c r="J153" s="12">
        <v>2</v>
      </c>
      <c r="K153" s="12"/>
    </row>
    <row r="154" spans="1:11" ht="36">
      <c r="B154" s="7">
        <f t="shared" si="4"/>
        <v>152</v>
      </c>
      <c r="C154" s="8" t="s">
        <v>600</v>
      </c>
      <c r="D154" s="9" t="s">
        <v>155</v>
      </c>
      <c r="E154" s="13" t="s">
        <v>614</v>
      </c>
      <c r="F154" s="12" t="s">
        <v>34</v>
      </c>
      <c r="G154" s="13"/>
      <c r="H154" s="12"/>
      <c r="I154" s="13" t="s">
        <v>155</v>
      </c>
      <c r="J154" s="12">
        <v>1</v>
      </c>
      <c r="K154" s="17" t="s">
        <v>615</v>
      </c>
    </row>
    <row r="155" spans="1:11" ht="24">
      <c r="B155" s="7">
        <f t="shared" si="4"/>
        <v>153</v>
      </c>
      <c r="C155" s="8" t="s">
        <v>600</v>
      </c>
      <c r="D155" s="9" t="s">
        <v>155</v>
      </c>
      <c r="E155" s="13" t="s">
        <v>616</v>
      </c>
      <c r="F155" s="12" t="s">
        <v>34</v>
      </c>
      <c r="G155" s="13" t="s">
        <v>617</v>
      </c>
      <c r="H155" s="12" t="s">
        <v>618</v>
      </c>
      <c r="I155" s="13" t="s">
        <v>155</v>
      </c>
      <c r="J155" s="12">
        <v>1</v>
      </c>
      <c r="K155" s="17" t="s">
        <v>619</v>
      </c>
    </row>
    <row r="156" spans="1:11">
      <c r="B156" s="7">
        <f t="shared" si="4"/>
        <v>154</v>
      </c>
      <c r="C156" s="8" t="s">
        <v>600</v>
      </c>
      <c r="D156" s="9" t="s">
        <v>155</v>
      </c>
      <c r="E156" s="13" t="s">
        <v>620</v>
      </c>
      <c r="F156" s="12" t="s">
        <v>34</v>
      </c>
      <c r="G156" s="13">
        <v>8900</v>
      </c>
      <c r="H156" s="12" t="s">
        <v>621</v>
      </c>
      <c r="I156" s="13" t="s">
        <v>155</v>
      </c>
      <c r="J156" s="12">
        <v>4</v>
      </c>
      <c r="K156" s="12"/>
    </row>
  </sheetData>
  <mergeCells count="1">
    <mergeCell ref="I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2025-09-28T19:24:23Z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215A2CBC6D5B40029EBC6EF6D1BCFE96_13</vt:lpwstr>
  </property>
  <property fmtid="{D5CDD505-2E9C-101B-9397-08002B2CF9AE}" pid="3" name="KSOProductBuildVer">
    <vt:lpwstr>2057-12.2.0.21931</vt:lpwstr>
  </property>
</Properties>
</file>