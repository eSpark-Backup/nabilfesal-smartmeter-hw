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eSpark-Consultants\nabilfesal-smartmeter-hw\Design-Files\OFP_SCM_v1.5\BOM\"/>
    </mc:Choice>
  </mc:AlternateContent>
  <bookViews>
    <workbookView xWindow="28680" yWindow="-120" windowWidth="29040" windowHeight="15840" activeTab="1"/>
  </bookViews>
  <sheets>
    <sheet name="10 Boards" sheetId="1" r:id="rId1"/>
    <sheet name="1000 Boards" sheetId="2" r:id="rId2"/>
  </sheets>
  <calcPr calcId="162913"/>
</workbook>
</file>

<file path=xl/calcChain.xml><?xml version="1.0" encoding="utf-8"?>
<calcChain xmlns="http://schemas.openxmlformats.org/spreadsheetml/2006/main">
  <c r="M9" i="2" l="1"/>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8" i="2"/>
  <c r="Q41" i="2" l="1"/>
  <c r="B41" i="2"/>
  <c r="Q40" i="2"/>
  <c r="B40" i="2"/>
  <c r="Q39" i="2"/>
  <c r="B39" i="2"/>
  <c r="Q38" i="2"/>
  <c r="B38" i="2"/>
  <c r="Q37" i="2"/>
  <c r="B37" i="2"/>
  <c r="Q36" i="2"/>
  <c r="B36" i="2"/>
  <c r="Q35" i="2"/>
  <c r="B35" i="2"/>
  <c r="Q34" i="2"/>
  <c r="B34" i="2"/>
  <c r="Q33" i="2"/>
  <c r="B33" i="2"/>
  <c r="Q32" i="2"/>
  <c r="B32" i="2"/>
  <c r="Q31" i="2"/>
  <c r="B31" i="2"/>
  <c r="Q30" i="2"/>
  <c r="B30" i="2"/>
  <c r="Q29" i="2"/>
  <c r="B29" i="2"/>
  <c r="Q28" i="2"/>
  <c r="B28" i="2"/>
  <c r="Q27" i="2"/>
  <c r="B27" i="2"/>
  <c r="Q26" i="2"/>
  <c r="B26" i="2"/>
  <c r="Q25" i="2"/>
  <c r="B25" i="2"/>
  <c r="Q24" i="2"/>
  <c r="B24" i="2"/>
  <c r="Q23" i="2"/>
  <c r="B23" i="2"/>
  <c r="Q22" i="2"/>
  <c r="B22" i="2"/>
  <c r="Q21" i="2"/>
  <c r="B21" i="2"/>
  <c r="Q20" i="2"/>
  <c r="B20" i="2"/>
  <c r="Q19" i="2"/>
  <c r="B19" i="2"/>
  <c r="Q18" i="2"/>
  <c r="B18" i="2"/>
  <c r="Q17" i="2"/>
  <c r="B17" i="2"/>
  <c r="Q16" i="2"/>
  <c r="B16" i="2"/>
  <c r="Q15" i="2"/>
  <c r="B15" i="2"/>
  <c r="Q14" i="2"/>
  <c r="B14" i="2"/>
  <c r="Q13" i="2"/>
  <c r="B13" i="2"/>
  <c r="Q12" i="2"/>
  <c r="B12" i="2"/>
  <c r="Q11" i="2"/>
  <c r="B11" i="2"/>
  <c r="Q10" i="2"/>
  <c r="B10" i="2"/>
  <c r="Q9" i="2"/>
  <c r="B9" i="2"/>
  <c r="Q8" i="2"/>
  <c r="B8" i="2"/>
  <c r="Q42" i="1"/>
  <c r="Q41" i="1"/>
  <c r="Q43"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8" i="1"/>
  <c r="B41" i="1"/>
  <c r="Q42" i="2" l="1"/>
  <c r="Q43" i="2" s="1"/>
  <c r="Q40" i="1"/>
  <c r="B40" i="1"/>
  <c r="Q39" i="1"/>
  <c r="B39" i="1"/>
  <c r="Q38" i="1"/>
  <c r="B38" i="1"/>
  <c r="Q37" i="1"/>
  <c r="B37" i="1"/>
  <c r="Q36" i="1"/>
  <c r="B36" i="1"/>
  <c r="Q35" i="1"/>
  <c r="B35" i="1"/>
  <c r="Q34" i="1"/>
  <c r="B34" i="1"/>
  <c r="Q33" i="1"/>
  <c r="B33" i="1"/>
  <c r="Q32" i="1"/>
  <c r="B32" i="1"/>
  <c r="Q31" i="1"/>
  <c r="B31" i="1"/>
  <c r="Q30" i="1"/>
  <c r="B30" i="1"/>
  <c r="Q29" i="1"/>
  <c r="B29" i="1"/>
  <c r="Q28" i="1"/>
  <c r="B28" i="1"/>
  <c r="Q27" i="1"/>
  <c r="B27" i="1"/>
  <c r="Q26" i="1"/>
  <c r="B26" i="1"/>
  <c r="Q25" i="1"/>
  <c r="B25" i="1"/>
  <c r="Q24" i="1"/>
  <c r="B24" i="1"/>
  <c r="Q23" i="1"/>
  <c r="B23" i="1"/>
  <c r="Q22" i="1"/>
  <c r="B22" i="1"/>
  <c r="Q21" i="1"/>
  <c r="B21" i="1"/>
  <c r="Q20" i="1"/>
  <c r="B20" i="1"/>
  <c r="Q19" i="1"/>
  <c r="B19" i="1"/>
  <c r="Q18" i="1"/>
  <c r="B18" i="1"/>
  <c r="Q17" i="1"/>
  <c r="B17" i="1"/>
  <c r="Q16" i="1"/>
  <c r="B16" i="1"/>
  <c r="Q15" i="1"/>
  <c r="B15" i="1"/>
  <c r="Q14" i="1"/>
  <c r="B14" i="1"/>
  <c r="Q13" i="1"/>
  <c r="B13" i="1"/>
  <c r="Q12" i="1"/>
  <c r="B12" i="1"/>
  <c r="Q11" i="1"/>
  <c r="B11" i="1"/>
  <c r="Q10" i="1"/>
  <c r="B10" i="1"/>
  <c r="Q9" i="1" l="1"/>
  <c r="Q8" i="1"/>
  <c r="B9" i="1"/>
  <c r="B8" i="1"/>
</calcChain>
</file>

<file path=xl/sharedStrings.xml><?xml version="1.0" encoding="utf-8"?>
<sst xmlns="http://schemas.openxmlformats.org/spreadsheetml/2006/main" count="810" uniqueCount="282">
  <si>
    <t>Component list</t>
  </si>
  <si>
    <t>Project:</t>
  </si>
  <si>
    <t>#</t>
  </si>
  <si>
    <t xml:space="preserve">Total Component Cost </t>
  </si>
  <si>
    <t>Single Board Cost</t>
  </si>
  <si>
    <t>Item Type</t>
  </si>
  <si>
    <t>Capacitor</t>
  </si>
  <si>
    <t>Capacitors</t>
  </si>
  <si>
    <t>Male Pin Header</t>
  </si>
  <si>
    <t>Male Header</t>
  </si>
  <si>
    <t>Wire to Board Connector</t>
  </si>
  <si>
    <t>Inductors</t>
  </si>
  <si>
    <t>LED</t>
  </si>
  <si>
    <t>Resistor</t>
  </si>
  <si>
    <t>Resistors</t>
  </si>
  <si>
    <t>Tactile Switch</t>
  </si>
  <si>
    <t>IC</t>
  </si>
  <si>
    <t>Module</t>
  </si>
  <si>
    <t>Designator</t>
  </si>
  <si>
    <t>C1, C2, C3, C9, C18, C24, C32, C34, C36, C38</t>
  </si>
  <si>
    <t>C4, C5, C6, C8, C12, C15, C16, C19, C20, C22, C23, C26, C27, C28, C29, C30, C31, C33, C35, C37, C39</t>
  </si>
  <si>
    <t>C7</t>
  </si>
  <si>
    <t>C10, C11</t>
  </si>
  <si>
    <t>C13, C14</t>
  </si>
  <si>
    <t>C17</t>
  </si>
  <si>
    <t>C21</t>
  </si>
  <si>
    <t>C25</t>
  </si>
  <si>
    <t>J1</t>
  </si>
  <si>
    <t>J2</t>
  </si>
  <si>
    <t>J3</t>
  </si>
  <si>
    <t>J4, J5, J6, J7, J8</t>
  </si>
  <si>
    <t>L1</t>
  </si>
  <si>
    <t>LED1, LED2, LED3, LED4</t>
  </si>
  <si>
    <t>LED5</t>
  </si>
  <si>
    <t>R1</t>
  </si>
  <si>
    <t>R2, R3, R6</t>
  </si>
  <si>
    <t>R4, R5, R21, R22, R23, R24, R25</t>
  </si>
  <si>
    <t>R7, R8, R9, R10, R19</t>
  </si>
  <si>
    <t>R11, R12, R17</t>
  </si>
  <si>
    <t>R13</t>
  </si>
  <si>
    <t>R14</t>
  </si>
  <si>
    <t>R15</t>
  </si>
  <si>
    <t>R16</t>
  </si>
  <si>
    <t>R18</t>
  </si>
  <si>
    <t>R20</t>
  </si>
  <si>
    <t>SW1, SW2</t>
  </si>
  <si>
    <t>U1</t>
  </si>
  <si>
    <t>U2</t>
  </si>
  <si>
    <t>U3</t>
  </si>
  <si>
    <t>U4</t>
  </si>
  <si>
    <t>U5</t>
  </si>
  <si>
    <t>U6, U7, U8</t>
  </si>
  <si>
    <t>Description</t>
  </si>
  <si>
    <t>CAP CER 10UF 10V X7R 0603</t>
  </si>
  <si>
    <t>CAP CER 0.1UF 50V X7R 0603</t>
  </si>
  <si>
    <t>CAP CER 1UF 50V X7R 0603</t>
  </si>
  <si>
    <t>CAP CER 10UF 50V X7R 1210</t>
  </si>
  <si>
    <t>CAP CER 22UF 10V X7R 0805</t>
  </si>
  <si>
    <t>CAP CER 0.033UF 50V X7R 0603</t>
  </si>
  <si>
    <t>CAP CER 100UF 6.3V X5R 1210</t>
  </si>
  <si>
    <t>CAP CER 4.7UF 10V X7R 0603</t>
  </si>
  <si>
    <t>Gold 250V 3A Policy 2.5mm 6P -40℃~+105℃ 2.54mm Double Row Black Brass 2x3P 2.54mm Plugin,P=2.54mm Pin Headers ROHS</t>
  </si>
  <si>
    <t>Gold 250V 3A Square Pins 2.5mm 8P 260℃ 6mm -40℃~+105℃ 3mm 2.54mm Plugin Black Brass 2.54mm 1x8P Plugin,P=2.54mm Pin Headers ROHS</t>
  </si>
  <si>
    <t>CONN HEADER VERT 8POS 2.5MM</t>
  </si>
  <si>
    <t>2x12P 24P 2 Tin 2.54mm 2.54mm 12 3A Brass Direct Insert Plugin,P=2.54mm Wire To Board Connector ROHS</t>
  </si>
  <si>
    <t>FIXED IND 6.8UH 4.5A 50.16 MOHM</t>
  </si>
  <si>
    <t>blue 0603 Light Emitting Diodes (LED) ROHS</t>
  </si>
  <si>
    <t>RED LED 0603 Light Emitting Diodes</t>
  </si>
  <si>
    <t>RES SMD 10K Ohm 1% 1/10W 0603</t>
  </si>
  <si>
    <t>RES SMD 1K OHM 1% 1/10W 0603</t>
  </si>
  <si>
    <t>RES SMD 4.7K OHM 1% 1/10W 0603</t>
  </si>
  <si>
    <t>RES SMD 680 OHM 1% 1/10W 0603</t>
  </si>
  <si>
    <t>RES SMD 0R, 1%, 0.1W, 0603</t>
  </si>
  <si>
    <t>RES SMD 511K OHM 0.1% 1/10W 0603</t>
  </si>
  <si>
    <t>RES 49.9 OHM 1% 1/10W 0603</t>
  </si>
  <si>
    <t>RES SMD 88.7KOHM 0.1% 1/10W 0603</t>
  </si>
  <si>
    <t>RES SMD 10.2KOHM 0.1% 1/10W 0603</t>
  </si>
  <si>
    <t>RES SMD 53.6KOHM 0.1% 1/10W 0603</t>
  </si>
  <si>
    <t>RES 100K OHM 1% 1/10W 0603</t>
  </si>
  <si>
    <t>Without bracket 50mA 4mm 100000 Times 12V 160gf 3mm 2mm Round Button Standing paste SPST SMD Tactile Switches ROHS</t>
  </si>
  <si>
    <t>IC MCU 32BIT 128KB FLASH 48QFN</t>
  </si>
  <si>
    <t>IC REG BUCK ADJ 3A SOT583</t>
  </si>
  <si>
    <t>TSOT-23-5 Linear Voltage Regulators (LDO) ROHS</t>
  </si>
  <si>
    <t>DGTL ISO 5000VRMS 4CH GP 16SOIC</t>
  </si>
  <si>
    <t>SIP-4 Isolated Power Modules ROHS</t>
  </si>
  <si>
    <t>Footprint</t>
  </si>
  <si>
    <t>Cap-0603</t>
  </si>
  <si>
    <t>Cap-1210</t>
  </si>
  <si>
    <t>Cap-0805</t>
  </si>
  <si>
    <t>X6521WV-2x03H-C60D30</t>
  </si>
  <si>
    <t>HDR 1x8 TH male</t>
  </si>
  <si>
    <t>B8B-XH-A(LF)(SN)</t>
  </si>
  <si>
    <t>X9555WV-2x12-6TV01</t>
  </si>
  <si>
    <t>LED-0603</t>
  </si>
  <si>
    <t>Res-0603</t>
  </si>
  <si>
    <t>TS-1088-AR02016</t>
  </si>
  <si>
    <t>48-QFN (7x7)</t>
  </si>
  <si>
    <t>SOT-583</t>
  </si>
  <si>
    <t>TSOT-23-5</t>
  </si>
  <si>
    <t>SOIC-16-300mil</t>
  </si>
  <si>
    <t>B0503S-2WR3</t>
  </si>
  <si>
    <t>Manufacturer Part Number</t>
  </si>
  <si>
    <t>GRM188Z71A106KA73D</t>
  </si>
  <si>
    <t>GCJ188R71H104KA12D</t>
  </si>
  <si>
    <t>CC0603KRX7R9BB105</t>
  </si>
  <si>
    <t>GRM32ER71H106KA12L</t>
  </si>
  <si>
    <t>GRM21BZ71A226ME15L</t>
  </si>
  <si>
    <t>GCJ188R71H333KA12D</t>
  </si>
  <si>
    <t>CC1210MKX5R5BB107</t>
  </si>
  <si>
    <t>GRM188Z71A475KE15D</t>
  </si>
  <si>
    <t>X6511WV-08H-C60D30</t>
  </si>
  <si>
    <t>ETQ-P3M6R8KVN</t>
  </si>
  <si>
    <t>NCD0603B3</t>
  </si>
  <si>
    <t>NCD0603R3</t>
  </si>
  <si>
    <t>RC0603FR-0710KL</t>
  </si>
  <si>
    <t>RC0603FR-071KL</t>
  </si>
  <si>
    <t>RC0603FR-074K7L</t>
  </si>
  <si>
    <t>RC0603FR-07680RL</t>
  </si>
  <si>
    <t>RC0603FR-070RL</t>
  </si>
  <si>
    <t>RT0603BRD07511KL</t>
  </si>
  <si>
    <t>RC0603FR-0749R9L</t>
  </si>
  <si>
    <t>RT0603BRD0788K7L</t>
  </si>
  <si>
    <t>RT0603BRE0710K2L</t>
  </si>
  <si>
    <t>RT0603BRD0753K6L</t>
  </si>
  <si>
    <t>RC0603FR-07100KL</t>
  </si>
  <si>
    <t>ATSAMD20G17A-MU</t>
  </si>
  <si>
    <t>TPS62933DRLR</t>
  </si>
  <si>
    <t>RT9080-33GJ5</t>
  </si>
  <si>
    <t>ISO7741DWR</t>
  </si>
  <si>
    <t>ISO7740DWR</t>
  </si>
  <si>
    <t>Manufacturer</t>
  </si>
  <si>
    <t>Murata</t>
  </si>
  <si>
    <t>Yageo</t>
  </si>
  <si>
    <t>XKB</t>
  </si>
  <si>
    <t>JST</t>
  </si>
  <si>
    <t>XKB Connectivity</t>
  </si>
  <si>
    <t>Panasonic</t>
  </si>
  <si>
    <t>Foshan NationStar Optoelectronics</t>
  </si>
  <si>
    <t>XUNPU</t>
  </si>
  <si>
    <t>Microchip</t>
  </si>
  <si>
    <t>Texas Instruments</t>
  </si>
  <si>
    <t>Richtek Tech</t>
  </si>
  <si>
    <t>YLPTEC</t>
  </si>
  <si>
    <t>LCSC Part Number</t>
  </si>
  <si>
    <t>C2959727</t>
  </si>
  <si>
    <t>C161115</t>
  </si>
  <si>
    <t>C559769</t>
  </si>
  <si>
    <t>C77102</t>
  </si>
  <si>
    <t>C907991</t>
  </si>
  <si>
    <t>C2173059</t>
  </si>
  <si>
    <t>C326605</t>
  </si>
  <si>
    <t>C913474</t>
  </si>
  <si>
    <t>C706893</t>
  </si>
  <si>
    <t>C706880</t>
  </si>
  <si>
    <t>C157972</t>
  </si>
  <si>
    <t>C692425</t>
  </si>
  <si>
    <t>C412310</t>
  </si>
  <si>
    <t>C158101</t>
  </si>
  <si>
    <t>C3151730</t>
  </si>
  <si>
    <t>C98220</t>
  </si>
  <si>
    <t>C22548</t>
  </si>
  <si>
    <t>C99782</t>
  </si>
  <si>
    <t>C112310</t>
  </si>
  <si>
    <t>C100044</t>
  </si>
  <si>
    <t>C861454</t>
  </si>
  <si>
    <t>C114625</t>
  </si>
  <si>
    <t>C728599</t>
  </si>
  <si>
    <t>C705802</t>
  </si>
  <si>
    <t>C861467</t>
  </si>
  <si>
    <t>C14675</t>
  </si>
  <si>
    <t>C720477</t>
  </si>
  <si>
    <t>C1343519</t>
  </si>
  <si>
    <t>C3200405</t>
  </si>
  <si>
    <t>C841192</t>
  </si>
  <si>
    <t>C571196</t>
  </si>
  <si>
    <t>C5369472</t>
  </si>
  <si>
    <t>C529547</t>
  </si>
  <si>
    <t>10uF</t>
  </si>
  <si>
    <t>0.1uF</t>
  </si>
  <si>
    <t>1uF</t>
  </si>
  <si>
    <t>22uF</t>
  </si>
  <si>
    <t>33nF</t>
  </si>
  <si>
    <t>100uF</t>
  </si>
  <si>
    <t>4.7uF</t>
  </si>
  <si>
    <t>6.8uH</t>
  </si>
  <si>
    <t>10K</t>
  </si>
  <si>
    <t>1K</t>
  </si>
  <si>
    <t>4.7K</t>
  </si>
  <si>
    <t>680R</t>
  </si>
  <si>
    <t>0R</t>
  </si>
  <si>
    <t>511K</t>
  </si>
  <si>
    <t>49.9R</t>
  </si>
  <si>
    <t>88.7K</t>
  </si>
  <si>
    <t>10.2K</t>
  </si>
  <si>
    <t>53.6K</t>
  </si>
  <si>
    <t>100K</t>
  </si>
  <si>
    <t>Quantity</t>
  </si>
  <si>
    <t>Bill of Materials for Project [OFP_SCM_v1.5</t>
  </si>
  <si>
    <t>OFP_SCM_v1.5</t>
  </si>
  <si>
    <t>Alternate Part Number</t>
  </si>
  <si>
    <t>Value</t>
  </si>
  <si>
    <t>Quantity (10 Boards)</t>
  </si>
  <si>
    <t>MOQ (10 Boards)</t>
  </si>
  <si>
    <t>Links</t>
  </si>
  <si>
    <t>Unit Cost (10 Boards)</t>
  </si>
  <si>
    <t>Total Cost (10 Boards)</t>
  </si>
  <si>
    <t>Remarks</t>
  </si>
  <si>
    <t>Peripheral</t>
  </si>
  <si>
    <t>-</t>
  </si>
  <si>
    <t xml:space="preserve">Dupont wire / terminal block wire / electronic wire </t>
  </si>
  <si>
    <t>Custom</t>
  </si>
  <si>
    <t>XF-P00014</t>
  </si>
  <si>
    <t>XFCN</t>
  </si>
  <si>
    <t>We can also ask custom supplier on this as the actual cable length that is required is 150mm. The above parts have 300mm wire length. We can ask to find part number of B8B-XH-A (LF)(SN) connector or XH series 8 pin connector with 150mm length.</t>
  </si>
  <si>
    <t>C5151681</t>
  </si>
  <si>
    <t>100</t>
  </si>
  <si>
    <t>250</t>
  </si>
  <si>
    <t>20</t>
  </si>
  <si>
    <t>0.0473</t>
  </si>
  <si>
    <t>0.0233</t>
  </si>
  <si>
    <t>0.0257</t>
  </si>
  <si>
    <t>0.1991</t>
  </si>
  <si>
    <t>0.0894</t>
  </si>
  <si>
    <t>0.0443</t>
  </si>
  <si>
    <t>0.3450</t>
  </si>
  <si>
    <t>0.0409</t>
  </si>
  <si>
    <t>0.0979</t>
  </si>
  <si>
    <t>0.1183</t>
  </si>
  <si>
    <t>0.0992</t>
  </si>
  <si>
    <t>0.2544</t>
  </si>
  <si>
    <t>0.5326</t>
  </si>
  <si>
    <t>0.0336</t>
  </si>
  <si>
    <t>0.0248</t>
  </si>
  <si>
    <t>0.0011</t>
  </si>
  <si>
    <t>0.0012</t>
  </si>
  <si>
    <t>0.0249</t>
  </si>
  <si>
    <t>0.0013</t>
  </si>
  <si>
    <t>0.0251</t>
  </si>
  <si>
    <t>0.0240</t>
  </si>
  <si>
    <t>0.0008</t>
  </si>
  <si>
    <t>0.0407</t>
  </si>
  <si>
    <t>1.9938</t>
  </si>
  <si>
    <t>0.3520</t>
  </si>
  <si>
    <t>0.1087</t>
  </si>
  <si>
    <t>0.9855</t>
  </si>
  <si>
    <t>0.8143</t>
  </si>
  <si>
    <t>0.8072</t>
  </si>
  <si>
    <t>0.2786</t>
  </si>
  <si>
    <t>LCSC</t>
  </si>
  <si>
    <t>Quantity (1000 Boards)</t>
  </si>
  <si>
    <t>MOQ (1000 Boards)</t>
  </si>
  <si>
    <t>Unit Cost (1000 Boards)</t>
  </si>
  <si>
    <t>Total Cost (1000 Boards)</t>
  </si>
  <si>
    <t>0.0326</t>
  </si>
  <si>
    <t>0.0144</t>
  </si>
  <si>
    <t>0.0166</t>
  </si>
  <si>
    <t>0.1102</t>
  </si>
  <si>
    <t>0.0565</t>
  </si>
  <si>
    <t>0.0290</t>
  </si>
  <si>
    <t>0.1642</t>
  </si>
  <si>
    <t>0.0263</t>
  </si>
  <si>
    <t>0.0595</t>
  </si>
  <si>
    <t>0.0729</t>
  </si>
  <si>
    <t>0.0569</t>
  </si>
  <si>
    <t>0.1503</t>
  </si>
  <si>
    <t>0.3433</t>
  </si>
  <si>
    <t>0.0183</t>
  </si>
  <si>
    <t>0.0178</t>
  </si>
  <si>
    <t>0.0007</t>
  </si>
  <si>
    <t>0.0170</t>
  </si>
  <si>
    <t>0.0010</t>
  </si>
  <si>
    <t>0.0172</t>
  </si>
  <si>
    <t>0.0160</t>
  </si>
  <si>
    <t>0.0164</t>
  </si>
  <si>
    <t>0.0006</t>
  </si>
  <si>
    <t>0.0262</t>
  </si>
  <si>
    <t>1.9304</t>
  </si>
  <si>
    <t>0.2393</t>
  </si>
  <si>
    <t>0.0693</t>
  </si>
  <si>
    <t>0.5896</t>
  </si>
  <si>
    <t>0.6687</t>
  </si>
  <si>
    <t>0.4346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</si>
</sst>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h:mm:ss\ AM/PM;@"/>
    <numFmt numFmtId="165" formatCode="&quot;$&quot;#,##0.0000"/>
    <numFmt numFmtId="166" formatCode="&quot;$&quot;#,##0.00"/>
  </numFmts>
  <fonts count="22">
    <font>
      <sz val="11"/>
      <color theme="1"/>
      <name val="Calibri"/>
      <family val="2"/>
      <scheme val="minor"/>
    </font>
    <font>
      <sz val="10"/>
      <color indexed="13"/>
      <name val="Arial"/>
      <family val="2"/>
    </font>
    <font>
      <b/>
      <sz val="24"/>
      <color indexed="10"/>
      <name val="Arial"/>
      <family val="2"/>
    </font>
    <font>
      <b/>
      <sz val="10"/>
      <color indexed="10"/>
      <name val="Arial"/>
      <family val="2"/>
    </font>
    <font>
      <sz val="10"/>
      <color indexed="10"/>
      <name val="Arial"/>
      <family val="2"/>
    </font>
    <font>
      <sz val="9"/>
      <color indexed="10"/>
      <name val="Arial"/>
      <family val="2"/>
    </font>
    <font>
      <b/>
      <sz val="12"/>
      <color theme="0"/>
      <name val="Arial"/>
      <family val="2"/>
    </font>
    <font>
      <sz val="10"/>
      <color theme="0"/>
      <name val="Arial"/>
      <family val="2"/>
    </font>
    <font>
      <sz val="9"/>
      <color theme="0"/>
      <name val="Arial"/>
      <family val="2"/>
    </font>
    <font>
      <b/>
      <sz val="10"/>
      <color theme="0"/>
      <name val="Calibri"/>
      <family val="2"/>
      <scheme val="minor"/>
    </font>
    <font>
      <sz val="10"/>
      <color theme="0"/>
      <name val="Calibri"/>
      <family val="2"/>
      <scheme val="minor"/>
    </font>
    <font>
      <b/>
      <sz val="24"/>
      <color theme="0"/>
      <name val="Calibri"/>
      <family val="2"/>
      <scheme val="minor"/>
    </font>
    <font>
      <b/>
      <sz val="12"/>
      <color theme="0"/>
      <name val="Calibri"/>
      <family val="2"/>
      <scheme val="minor"/>
    </font>
    <font>
      <sz val="9"/>
      <color theme="0"/>
      <name val="Calibri"/>
      <family val="2"/>
      <scheme val="minor"/>
    </font>
    <font>
      <b/>
      <sz val="11"/>
      <color theme="0"/>
      <name val="Calibri"/>
      <family val="2"/>
      <scheme val="minor"/>
    </font>
    <font>
      <sz val="9"/>
      <name val="Calibri"/>
      <family val="2"/>
      <scheme val="minor"/>
    </font>
    <font>
      <b/>
      <sz val="10"/>
      <name val="Calibri"/>
      <family val="2"/>
      <scheme val="minor"/>
    </font>
    <font>
      <sz val="11"/>
      <color rgb="FFFF0000"/>
      <name val="Calibri"/>
      <family val="2"/>
      <scheme val="minor"/>
    </font>
    <font>
      <b/>
      <sz val="14"/>
      <color theme="0"/>
      <name val="Calibri"/>
      <family val="2"/>
      <scheme val="minor"/>
    </font>
    <font>
      <b/>
      <sz val="10"/>
      <color rgb="FFFF0000"/>
      <name val="Calibri"/>
      <family val="2"/>
      <scheme val="minor"/>
    </font>
    <font>
      <u/>
      <sz val="11"/>
      <color indexed="12"/>
      <name val="宋体"/>
      <charset val="134"/>
    </font>
    <font>
      <u/>
      <sz val="11"/>
      <color indexed="1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3A4CB"/>
        <bgColor indexed="64"/>
      </patternFill>
    </fill>
    <fill>
      <patternFill patternType="solid">
        <fgColor theme="1" tint="0.499984740745262"/>
        <bgColor indexed="64"/>
      </patternFill>
    </fill>
  </fills>
  <borders count="14">
    <border>
      <left/>
      <right/>
      <top/>
      <bottom/>
      <diagonal/>
    </border>
    <border>
      <left/>
      <right/>
      <top style="thin">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8"/>
      </left>
      <right style="thin">
        <color indexed="8"/>
      </right>
      <top/>
      <bottom style="thin">
        <color indexed="8"/>
      </bottom>
      <diagonal/>
    </border>
  </borders>
  <cellStyleXfs count="2">
    <xf numFmtId="0" fontId="0" fillId="0" borderId="0"/>
    <xf numFmtId="0" fontId="20" fillId="0" borderId="0" applyNumberFormat="0" applyFill="0" applyBorder="0" applyAlignment="0" applyProtection="0">
      <alignment vertical="center"/>
    </xf>
  </cellStyleXfs>
  <cellXfs count="51">
    <xf numFmtId="0" fontId="0" fillId="0" borderId="0" xfId="0"/>
    <xf numFmtId="0" fontId="1" fillId="2" borderId="0" xfId="0" applyFont="1" applyFill="1"/>
    <xf numFmtId="0" fontId="1" fillId="2" borderId="1" xfId="0" applyFont="1" applyFill="1" applyBorder="1"/>
    <xf numFmtId="0" fontId="6" fillId="3" borderId="5" xfId="0" applyFont="1" applyFill="1" applyBorder="1" applyAlignment="1">
      <alignment vertical="center"/>
    </xf>
    <xf numFmtId="0" fontId="11" fillId="3" borderId="4" xfId="0" applyFont="1" applyFill="1" applyBorder="1" applyAlignment="1">
      <alignment vertical="center"/>
    </xf>
    <xf numFmtId="0" fontId="12" fillId="3" borderId="5" xfId="0" applyFont="1" applyFill="1" applyBorder="1" applyAlignment="1">
      <alignment vertical="center"/>
    </xf>
    <xf numFmtId="0" fontId="1" fillId="2" borderId="0" xfId="0" applyFont="1" applyFill="1" applyAlignment="1">
      <alignment horizontal="center"/>
    </xf>
    <xf numFmtId="0" fontId="2" fillId="3" borderId="3" xfId="0" applyFont="1" applyFill="1" applyBorder="1" applyAlignment="1">
      <alignment horizontal="center" vertical="center"/>
    </xf>
    <xf numFmtId="0" fontId="3" fillId="3" borderId="2" xfId="0" applyFont="1" applyFill="1" applyBorder="1" applyAlignment="1">
      <alignment horizontal="center"/>
    </xf>
    <xf numFmtId="0" fontId="5" fillId="3" borderId="2" xfId="0" applyFont="1" applyFill="1" applyBorder="1" applyAlignment="1">
      <alignment horizontal="center"/>
    </xf>
    <xf numFmtId="0" fontId="0" fillId="0" borderId="0" xfId="0" applyAlignment="1">
      <alignment horizontal="center"/>
    </xf>
    <xf numFmtId="0" fontId="4" fillId="3" borderId="2" xfId="0" applyFont="1" applyFill="1" applyBorder="1" applyAlignment="1">
      <alignment horizontal="center"/>
    </xf>
    <xf numFmtId="0" fontId="14" fillId="4" borderId="6" xfId="0" applyFont="1" applyFill="1" applyBorder="1" applyAlignment="1">
      <alignment horizontal="center" vertical="center"/>
    </xf>
    <xf numFmtId="0" fontId="2" fillId="3" borderId="4" xfId="0" applyFont="1" applyFill="1" applyBorder="1" applyAlignment="1">
      <alignment horizontal="center" vertical="center"/>
    </xf>
    <xf numFmtId="0" fontId="15" fillId="2" borderId="7" xfId="0" applyFont="1" applyFill="1" applyBorder="1" applyAlignment="1">
      <alignment horizontal="center" vertical="center" wrapText="1"/>
    </xf>
    <xf numFmtId="165" fontId="15" fillId="2" borderId="7" xfId="0" applyNumberFormat="1"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166" fontId="12" fillId="3" borderId="6" xfId="0" quotePrefix="1" applyNumberFormat="1" applyFont="1" applyFill="1" applyBorder="1" applyAlignment="1">
      <alignment horizontal="center" vertical="center" wrapText="1"/>
    </xf>
    <xf numFmtId="166" fontId="12" fillId="3" borderId="10" xfId="0" applyNumberFormat="1" applyFont="1" applyFill="1" applyBorder="1" applyAlignment="1">
      <alignment horizontal="center" vertical="center"/>
    </xf>
    <xf numFmtId="0" fontId="15" fillId="2" borderId="8" xfId="0" applyFont="1" applyFill="1" applyBorder="1" applyAlignment="1">
      <alignment horizontal="center" vertical="center" wrapText="1"/>
    </xf>
    <xf numFmtId="165" fontId="15" fillId="2" borderId="8"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7" fillId="3" borderId="0" xfId="0" applyFont="1" applyFill="1" applyBorder="1"/>
    <xf numFmtId="0" fontId="10" fillId="3" borderId="0" xfId="0" applyFont="1" applyFill="1" applyBorder="1" applyAlignment="1">
      <alignment horizontal="left"/>
    </xf>
    <xf numFmtId="0" fontId="3" fillId="3" borderId="0" xfId="0" applyFont="1" applyFill="1" applyBorder="1" applyAlignment="1">
      <alignment horizontal="center"/>
    </xf>
    <xf numFmtId="0" fontId="9" fillId="3" borderId="0" xfId="0" applyFont="1" applyFill="1" applyBorder="1"/>
    <xf numFmtId="0" fontId="10" fillId="3" borderId="0" xfId="0" applyFont="1" applyFill="1" applyBorder="1"/>
    <xf numFmtId="0" fontId="10" fillId="3" borderId="5" xfId="0" applyFont="1" applyFill="1" applyBorder="1"/>
    <xf numFmtId="0" fontId="7" fillId="3" borderId="5" xfId="0" applyFont="1" applyFill="1" applyBorder="1"/>
    <xf numFmtId="0" fontId="12" fillId="3" borderId="4" xfId="0" applyFont="1" applyFill="1" applyBorder="1" applyAlignment="1">
      <alignment vertical="center"/>
    </xf>
    <xf numFmtId="0" fontId="6" fillId="3" borderId="4" xfId="0" applyFont="1" applyFill="1" applyBorder="1" applyAlignment="1">
      <alignment vertical="center"/>
    </xf>
    <xf numFmtId="0" fontId="5" fillId="3" borderId="0" xfId="0" applyFont="1" applyFill="1" applyBorder="1" applyAlignment="1">
      <alignment horizontal="center"/>
    </xf>
    <xf numFmtId="0" fontId="13" fillId="3" borderId="0" xfId="0" applyFont="1" applyFill="1" applyBorder="1"/>
    <xf numFmtId="0" fontId="8" fillId="3" borderId="0" xfId="0" applyFont="1" applyFill="1" applyBorder="1"/>
    <xf numFmtId="0" fontId="4" fillId="3" borderId="0" xfId="0" applyFont="1" applyFill="1" applyBorder="1" applyAlignment="1">
      <alignment horizontal="center"/>
    </xf>
    <xf numFmtId="164" fontId="10" fillId="3" borderId="0" xfId="0" applyNumberFormat="1" applyFont="1" applyFill="1" applyBorder="1" applyAlignment="1">
      <alignment horizontal="left"/>
    </xf>
    <xf numFmtId="0" fontId="17" fillId="0" borderId="0" xfId="0" applyFont="1"/>
    <xf numFmtId="0" fontId="12" fillId="3" borderId="0" xfId="0" applyFont="1" applyFill="1" applyBorder="1" applyAlignment="1">
      <alignment horizontal="center"/>
    </xf>
    <xf numFmtId="0" fontId="12" fillId="3" borderId="5" xfId="0" quotePrefix="1" applyFont="1" applyFill="1" applyBorder="1" applyAlignment="1">
      <alignment vertical="center"/>
    </xf>
    <xf numFmtId="0" fontId="9" fillId="3" borderId="5" xfId="0" quotePrefix="1" applyFont="1" applyFill="1" applyBorder="1" applyAlignment="1">
      <alignment horizontal="left"/>
    </xf>
    <xf numFmtId="0" fontId="1" fillId="2" borderId="1" xfId="0" applyFont="1" applyFill="1" applyBorder="1" applyAlignment="1">
      <alignment horizontal="center"/>
    </xf>
    <xf numFmtId="0" fontId="18" fillId="3" borderId="9" xfId="0" applyFont="1" applyFill="1" applyBorder="1" applyAlignment="1" applyProtection="1">
      <alignment horizontal="center" vertical="top"/>
      <protection locked="0"/>
    </xf>
    <xf numFmtId="0" fontId="18" fillId="3" borderId="5" xfId="0" applyFont="1" applyFill="1" applyBorder="1" applyAlignment="1" applyProtection="1">
      <alignment horizontal="center" vertical="top"/>
      <protection locked="0"/>
    </xf>
    <xf numFmtId="0" fontId="15" fillId="2" borderId="11"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21" fillId="0" borderId="13" xfId="1" applyFont="1" applyBorder="1" applyAlignment="1">
      <alignment horizontal="center" vertical="center" wrapText="1"/>
    </xf>
    <xf numFmtId="0" fontId="1" fillId="2" borderId="0" xfId="0"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03A4CB"/>
      <color rgb="FF2CD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lcsc.com/product-detail/power-inductors_panasonic-etqp3m6r8kvn_C412310.html" TargetMode="External"/><Relationship Id="rId18" Type="http://schemas.openxmlformats.org/officeDocument/2006/relationships/hyperlink" Target="https://www.lcsc.com/product-detail/chip-resistor-surface-mount_yageo-rc0603fr-074k7l_C99782.html" TargetMode="External"/><Relationship Id="rId26" Type="http://schemas.openxmlformats.org/officeDocument/2006/relationships/hyperlink" Target="https://www.lcsc.com/product-detail/chip-resistor-surface-mount_yageo-rc0603fr-07100kl_C14675.html" TargetMode="External"/><Relationship Id="rId3" Type="http://schemas.openxmlformats.org/officeDocument/2006/relationships/hyperlink" Target="https://www.lcsc.com/product-detail/multilayer-ceramic-capacitors-mlcc-smd-smt_yageo-cc0603krx7r9bb105_C559769.html" TargetMode="External"/><Relationship Id="rId21" Type="http://schemas.openxmlformats.org/officeDocument/2006/relationships/hyperlink" Target="https://www.lcsc.com/product-detail/chip-resistor-surface-mount_yageo-rt0603brd07511kl_C861454.html" TargetMode="External"/><Relationship Id="rId34" Type="http://schemas.openxmlformats.org/officeDocument/2006/relationships/hyperlink" Target="https://www.lcsc.com/product-detail/dupont-wire-terminal-block-wire-electronic-wire_xfcn-xf-p00014_C5151681.html" TargetMode="External"/><Relationship Id="rId7" Type="http://schemas.openxmlformats.org/officeDocument/2006/relationships/hyperlink" Target="https://www.lcsc.com/product-detail/multilayer-ceramic-capacitors-mlcc-smd-smt_yageo-cc1210mkx5r5bb107_C326605.html" TargetMode="External"/><Relationship Id="rId12" Type="http://schemas.openxmlformats.org/officeDocument/2006/relationships/hyperlink" Target="https://www.lcsc.com/product-detail/wire-to-board-connector_xkb-connection-x9555wv-2x12-6tv01_C692425.html" TargetMode="External"/><Relationship Id="rId17" Type="http://schemas.openxmlformats.org/officeDocument/2006/relationships/hyperlink" Target="https://www.lcsc.com/product-detail/chip-resistor-surface-mount_yageo-rc0603fr-071kl_C22548.html" TargetMode="External"/><Relationship Id="rId25" Type="http://schemas.openxmlformats.org/officeDocument/2006/relationships/hyperlink" Target="https://www.lcsc.com/product-detail/chip-resistor-surface-mount_yageo-rt0603brd0753k6l_C861467.html" TargetMode="External"/><Relationship Id="rId33" Type="http://schemas.openxmlformats.org/officeDocument/2006/relationships/hyperlink" Target="https://www.lcsc.com/product-detail/digital-isolators_texas-instruments-iso7740dwr_C529547.html" TargetMode="External"/><Relationship Id="rId2" Type="http://schemas.openxmlformats.org/officeDocument/2006/relationships/hyperlink" Target="https://www.lcsc.com/product-detail/multilayer-ceramic-capacitors-mlcc-smd-smt_murata-electronics-gcj188r71h104ka12d_C161115.html" TargetMode="External"/><Relationship Id="rId16" Type="http://schemas.openxmlformats.org/officeDocument/2006/relationships/hyperlink" Target="https://www.lcsc.com/product-detail/chip-resistor-surface-mount_yageo-rc0603fr-0710kl_C98220.html" TargetMode="External"/><Relationship Id="rId20" Type="http://schemas.openxmlformats.org/officeDocument/2006/relationships/hyperlink" Target="https://www.lcsc.com/product-detail/chip-resistor-surface-mount_yageo-rc0603fr-070rl_C100044.html" TargetMode="External"/><Relationship Id="rId29" Type="http://schemas.openxmlformats.org/officeDocument/2006/relationships/hyperlink" Target="https://www.lcsc.com/product-detail/dc-dc-converters_texas-instruments-tps62933drlr_C3200405.html" TargetMode="External"/><Relationship Id="rId1" Type="http://schemas.openxmlformats.org/officeDocument/2006/relationships/hyperlink" Target="https://www.lcsc.com/product-detail/multilayer-ceramic-capacitors-mlcc-smd-smt_murata-electronics-grm188z71a106ka73d_C2959727.html" TargetMode="External"/><Relationship Id="rId6" Type="http://schemas.openxmlformats.org/officeDocument/2006/relationships/hyperlink" Target="https://www.lcsc.com/product-detail/multilayer-ceramic-capacitors-mlcc-smd-smt_murata-electronics-gcj188r71h333ka12d_C2173059.html" TargetMode="External"/><Relationship Id="rId11" Type="http://schemas.openxmlformats.org/officeDocument/2006/relationships/hyperlink" Target="https://www.lcsc.com/product-detail/wire-to-board-connector_jst-b8b-xh-a-lf-sn_C157972.html" TargetMode="External"/><Relationship Id="rId24" Type="http://schemas.openxmlformats.org/officeDocument/2006/relationships/hyperlink" Target="https://www.lcsc.com/product-detail/chip-resistor-surface-mount_yageo-rt0603bre0710k2l_C705802.html" TargetMode="External"/><Relationship Id="rId32" Type="http://schemas.openxmlformats.org/officeDocument/2006/relationships/hyperlink" Target="https://www.lcsc.com/product-detail/isolated-power-modules_ylptec-b0503s-2wr3_C5369472.html" TargetMode="External"/><Relationship Id="rId5" Type="http://schemas.openxmlformats.org/officeDocument/2006/relationships/hyperlink" Target="https://www.lcsc.com/product-detail/multilayer-ceramic-capacitors-mlcc-smd-smt_murata-electronics-grm21bz71a226me15l_C907991.html" TargetMode="External"/><Relationship Id="rId15" Type="http://schemas.openxmlformats.org/officeDocument/2006/relationships/hyperlink" Target="https://www.lcsc.com/product-detail/led-indication-discrete_foshan-nationstar-optoelectronics-ncd0603r3_C3151730.html" TargetMode="External"/><Relationship Id="rId23" Type="http://schemas.openxmlformats.org/officeDocument/2006/relationships/hyperlink" Target="https://www.lcsc.com/product-detail/chip-resistor-surface-mount_yageo-rt0603brd0788k7l_C728599.html" TargetMode="External"/><Relationship Id="rId28" Type="http://schemas.openxmlformats.org/officeDocument/2006/relationships/hyperlink" Target="https://www.lcsc.com/product-detail/microcontrollers-mcu-mpu-soc_microchip-tech-atsamd20g17a-mu_C1343519.html" TargetMode="External"/><Relationship Id="rId10" Type="http://schemas.openxmlformats.org/officeDocument/2006/relationships/hyperlink" Target="https://www.lcsc.com/product-detail/pin-headers_xkb-connection-x6511wv-08h-c60d30_C706880.html" TargetMode="External"/><Relationship Id="rId19" Type="http://schemas.openxmlformats.org/officeDocument/2006/relationships/hyperlink" Target="https://www.lcsc.com/product-detail/chip-resistor-surface-mount_yageo-rc0603fr-07680rl_C112310.html" TargetMode="External"/><Relationship Id="rId31" Type="http://schemas.openxmlformats.org/officeDocument/2006/relationships/hyperlink" Target="https://www.lcsc.com/product-detail/digital-isolators_texas-instruments-iso7741dwr_C571196.html" TargetMode="External"/><Relationship Id="rId4" Type="http://schemas.openxmlformats.org/officeDocument/2006/relationships/hyperlink" Target="https://www.lcsc.com/product-detail/multilayer-ceramic-capacitors-mlcc-smd-smt_murata-electronics-grm32er71h106ka12l_C77102.html" TargetMode="External"/><Relationship Id="rId9" Type="http://schemas.openxmlformats.org/officeDocument/2006/relationships/hyperlink" Target="https://www.lcsc.com/product-detail/pin-headers_xkb-connection-x6521wv-2x03h-c60d30_C706893.html" TargetMode="External"/><Relationship Id="rId14" Type="http://schemas.openxmlformats.org/officeDocument/2006/relationships/hyperlink" Target="https://www.lcsc.com/product-detail/led-indication-discrete_foshan-nationstar-optoelectronics-ncd0603b3_C158101.html" TargetMode="External"/><Relationship Id="rId22" Type="http://schemas.openxmlformats.org/officeDocument/2006/relationships/hyperlink" Target="https://www.lcsc.com/product-detail/chip-resistor-surface-mount_yageo-rc0603fr-0749r9l_C114625.html" TargetMode="External"/><Relationship Id="rId27" Type="http://schemas.openxmlformats.org/officeDocument/2006/relationships/hyperlink" Target="https://www.lcsc.com/product-detail/tactile-switches_xunpu-ts-1088-ar02016_C720477.html" TargetMode="External"/><Relationship Id="rId30" Type="http://schemas.openxmlformats.org/officeDocument/2006/relationships/hyperlink" Target="https://www.lcsc.com/product-detail/voltage-regulators-linear-low-drop-out-ldo-regulators_richtek-tech-rt9080-33gj5_C841192.html" TargetMode="External"/><Relationship Id="rId35" Type="http://schemas.openxmlformats.org/officeDocument/2006/relationships/printerSettings" Target="../printerSettings/printerSettings1.bin"/><Relationship Id="rId8" Type="http://schemas.openxmlformats.org/officeDocument/2006/relationships/hyperlink" Target="https://www.lcsc.com/product-detail/multilayer-ceramic-capacitors-mlcc-smd-smt_murata-electronics-grm188z71a475ke15d_C913474.html"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csc.com/product-detail/power-inductors_panasonic-etqp3m6r8kvn_C412310.html" TargetMode="External"/><Relationship Id="rId18" Type="http://schemas.openxmlformats.org/officeDocument/2006/relationships/hyperlink" Target="https://www.lcsc.com/product-detail/chip-resistor-surface-mount_yageo-rc0603fr-074k7l_C99782.html" TargetMode="External"/><Relationship Id="rId26" Type="http://schemas.openxmlformats.org/officeDocument/2006/relationships/hyperlink" Target="https://www.lcsc.com/product-detail/chip-resistor-surface-mount_yageo-rc0603fr-07100kl_C14675.html" TargetMode="External"/><Relationship Id="rId3" Type="http://schemas.openxmlformats.org/officeDocument/2006/relationships/hyperlink" Target="https://www.lcsc.com/product-detail/multilayer-ceramic-capacitors-mlcc-smd-smt_yageo-cc0603krx7r9bb105_C559769.html" TargetMode="External"/><Relationship Id="rId21" Type="http://schemas.openxmlformats.org/officeDocument/2006/relationships/hyperlink" Target="https://www.lcsc.com/product-detail/chip-resistor-surface-mount_yageo-rt0603brd07511kl_C861454.html" TargetMode="External"/><Relationship Id="rId34" Type="http://schemas.openxmlformats.org/officeDocument/2006/relationships/hyperlink" Target="https://www.lcsc.com/product-detail/dupont-wire-terminal-block-wire-electronic-wire_xfcn-xf-p00014_C5151681.html" TargetMode="External"/><Relationship Id="rId7" Type="http://schemas.openxmlformats.org/officeDocument/2006/relationships/hyperlink" Target="https://www.lcsc.com/product-detail/multilayer-ceramic-capacitors-mlcc-smd-smt_yageo-cc1210mkx5r5bb107_C326605.html" TargetMode="External"/><Relationship Id="rId12" Type="http://schemas.openxmlformats.org/officeDocument/2006/relationships/hyperlink" Target="https://www.lcsc.com/product-detail/wire-to-board-connector_xkb-connection-x9555wv-2x12-6tv01_C692425.html" TargetMode="External"/><Relationship Id="rId17" Type="http://schemas.openxmlformats.org/officeDocument/2006/relationships/hyperlink" Target="https://www.lcsc.com/product-detail/chip-resistor-surface-mount_yageo-rc0603fr-071kl_C22548.html" TargetMode="External"/><Relationship Id="rId25" Type="http://schemas.openxmlformats.org/officeDocument/2006/relationships/hyperlink" Target="https://www.lcsc.com/product-detail/chip-resistor-surface-mount_yageo-rt0603brd0753k6l_C861467.html" TargetMode="External"/><Relationship Id="rId33" Type="http://schemas.openxmlformats.org/officeDocument/2006/relationships/hyperlink" Target="https://www.lcsc.com/product-detail/digital-isolators_texas-instruments-iso7740dwr_C529547.html" TargetMode="External"/><Relationship Id="rId2" Type="http://schemas.openxmlformats.org/officeDocument/2006/relationships/hyperlink" Target="https://www.lcsc.com/product-detail/multilayer-ceramic-capacitors-mlcc-smd-smt_murata-electronics-gcj188r71h104ka12d_C161115.html" TargetMode="External"/><Relationship Id="rId16" Type="http://schemas.openxmlformats.org/officeDocument/2006/relationships/hyperlink" Target="https://www.lcsc.com/product-detail/chip-resistor-surface-mount_yageo-rc0603fr-0710kl_C98220.html" TargetMode="External"/><Relationship Id="rId20" Type="http://schemas.openxmlformats.org/officeDocument/2006/relationships/hyperlink" Target="https://www.lcsc.com/product-detail/chip-resistor-surface-mount_yageo-rc0603fr-070rl_C100044.html" TargetMode="External"/><Relationship Id="rId29" Type="http://schemas.openxmlformats.org/officeDocument/2006/relationships/hyperlink" Target="https://www.lcsc.com/product-detail/dc-dc-converters_texas-instruments-tps62933drlr_C3200405.html" TargetMode="External"/><Relationship Id="rId1" Type="http://schemas.openxmlformats.org/officeDocument/2006/relationships/hyperlink" Target="https://www.lcsc.com/product-detail/multilayer-ceramic-capacitors-mlcc-smd-smt_murata-electronics-grm188z71a106ka73d_C2959727.html" TargetMode="External"/><Relationship Id="rId6" Type="http://schemas.openxmlformats.org/officeDocument/2006/relationships/hyperlink" Target="https://www.lcsc.com/product-detail/multilayer-ceramic-capacitors-mlcc-smd-smt_murata-electronics-gcj188r71h333ka12d_C2173059.html" TargetMode="External"/><Relationship Id="rId11" Type="http://schemas.openxmlformats.org/officeDocument/2006/relationships/hyperlink" Target="https://www.lcsc.com/product-detail/wire-to-board-connector_jst-b8b-xh-a-lf-sn_C157972.html" TargetMode="External"/><Relationship Id="rId24" Type="http://schemas.openxmlformats.org/officeDocument/2006/relationships/hyperlink" Target="https://www.lcsc.com/product-detail/chip-resistor-surface-mount_yageo-rt0603bre0710k2l_C705802.html" TargetMode="External"/><Relationship Id="rId32" Type="http://schemas.openxmlformats.org/officeDocument/2006/relationships/hyperlink" Target="https://www.lcsc.com/product-detail/isolated-power-modules_ylptec-b0503s-2wr3_C5369472.html" TargetMode="External"/><Relationship Id="rId5" Type="http://schemas.openxmlformats.org/officeDocument/2006/relationships/hyperlink" Target="https://www.lcsc.com/product-detail/multilayer-ceramic-capacitors-mlcc-smd-smt_murata-electronics-grm21bz71a226me15l_C907991.html" TargetMode="External"/><Relationship Id="rId15" Type="http://schemas.openxmlformats.org/officeDocument/2006/relationships/hyperlink" Target="https://www.lcsc.com/product-detail/led-indication-discrete_foshan-nationstar-optoelectronics-ncd0603r3_C3151730.html" TargetMode="External"/><Relationship Id="rId23" Type="http://schemas.openxmlformats.org/officeDocument/2006/relationships/hyperlink" Target="https://www.lcsc.com/product-detail/chip-resistor-surface-mount_yageo-rt0603brd0788k7l_C728599.html" TargetMode="External"/><Relationship Id="rId28" Type="http://schemas.openxmlformats.org/officeDocument/2006/relationships/hyperlink" Target="https://www.lcsc.com/product-detail/microcontrollers-mcu-mpu-soc_microchip-tech-atsamd20g17a-mu_C1343519.html" TargetMode="External"/><Relationship Id="rId10" Type="http://schemas.openxmlformats.org/officeDocument/2006/relationships/hyperlink" Target="https://www.lcsc.com/product-detail/pin-headers_xkb-connection-x6511wv-08h-c60d30_C706880.html" TargetMode="External"/><Relationship Id="rId19" Type="http://schemas.openxmlformats.org/officeDocument/2006/relationships/hyperlink" Target="https://www.lcsc.com/product-detail/chip-resistor-surface-mount_yageo-rc0603fr-07680rl_C112310.html" TargetMode="External"/><Relationship Id="rId31" Type="http://schemas.openxmlformats.org/officeDocument/2006/relationships/hyperlink" Target="https://www.lcsc.com/product-detail/digital-isolators_texas-instruments-iso7741dwr_C571196.html" TargetMode="External"/><Relationship Id="rId4" Type="http://schemas.openxmlformats.org/officeDocument/2006/relationships/hyperlink" Target="https://www.lcsc.com/product-detail/multilayer-ceramic-capacitors-mlcc-smd-smt_murata-electronics-grm32er71h106ka12l_C77102.html" TargetMode="External"/><Relationship Id="rId9" Type="http://schemas.openxmlformats.org/officeDocument/2006/relationships/hyperlink" Target="https://www.lcsc.com/product-detail/pin-headers_xkb-connection-x6521wv-2x03h-c60d30_C706893.html" TargetMode="External"/><Relationship Id="rId14" Type="http://schemas.openxmlformats.org/officeDocument/2006/relationships/hyperlink" Target="https://www.lcsc.com/product-detail/led-indication-discrete_foshan-nationstar-optoelectronics-ncd0603b3_C158101.html" TargetMode="External"/><Relationship Id="rId22" Type="http://schemas.openxmlformats.org/officeDocument/2006/relationships/hyperlink" Target="https://www.lcsc.com/product-detail/chip-resistor-surface-mount_yageo-rc0603fr-0749r9l_C114625.html" TargetMode="External"/><Relationship Id="rId27" Type="http://schemas.openxmlformats.org/officeDocument/2006/relationships/hyperlink" Target="https://www.lcsc.com/product-detail/tactile-switches_xunpu-ts-1088-ar02016_C720477.html" TargetMode="External"/><Relationship Id="rId30" Type="http://schemas.openxmlformats.org/officeDocument/2006/relationships/hyperlink" Target="https://www.lcsc.com/product-detail/voltage-regulators-linear-low-drop-out-ldo-regulators_richtek-tech-rt9080-33gj5_C841192.html" TargetMode="External"/><Relationship Id="rId8" Type="http://schemas.openxmlformats.org/officeDocument/2006/relationships/hyperlink" Target="https://www.lcsc.com/product-detail/multilayer-ceramic-capacitors-mlcc-smd-smt_murata-electronics-grm188z71a475ke15d_C91347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5"/>
  <sheetViews>
    <sheetView topLeftCell="F25" workbookViewId="0">
      <selection activeCell="M9" sqref="M9"/>
    </sheetView>
  </sheetViews>
  <sheetFormatPr defaultRowHeight="15"/>
  <cols>
    <col min="2" max="2" width="3.140625" style="10" customWidth="1"/>
    <col min="3" max="3" width="18" style="10" bestFit="1" customWidth="1"/>
    <col min="4" max="4" width="27.42578125" customWidth="1"/>
    <col min="5" max="5" width="30.85546875" customWidth="1"/>
    <col min="6" max="6" width="22.28515625" bestFit="1" customWidth="1"/>
    <col min="7" max="7" width="33.42578125" bestFit="1" customWidth="1"/>
    <col min="8" max="8" width="21.42578125" bestFit="1" customWidth="1"/>
    <col min="9" max="9" width="21.5703125" bestFit="1" customWidth="1"/>
    <col min="10" max="10" width="17" bestFit="1" customWidth="1"/>
    <col min="11" max="11" width="6.140625" bestFit="1" customWidth="1"/>
    <col min="12" max="12" width="8.7109375" bestFit="1" customWidth="1"/>
    <col min="13" max="13" width="19.28515625" bestFit="1" customWidth="1"/>
    <col min="14" max="14" width="16.140625" bestFit="1" customWidth="1"/>
    <col min="15" max="15" width="5.42578125" bestFit="1" customWidth="1"/>
    <col min="16" max="16" width="19.7109375" bestFit="1" customWidth="1"/>
    <col min="17" max="17" width="20.28515625" bestFit="1" customWidth="1"/>
    <col min="18" max="18" width="24.85546875" customWidth="1"/>
  </cols>
  <sheetData>
    <row r="1" spans="1:18" ht="15.75" thickBot="1">
      <c r="A1" s="1"/>
      <c r="B1" s="6"/>
      <c r="C1" s="6"/>
      <c r="D1" s="2"/>
      <c r="E1" s="2"/>
      <c r="F1" s="2"/>
      <c r="G1" s="2"/>
      <c r="H1" s="2"/>
      <c r="I1" s="2"/>
      <c r="J1" s="2"/>
      <c r="K1" s="42"/>
      <c r="L1" s="42"/>
      <c r="M1" s="42"/>
      <c r="N1" s="42"/>
      <c r="O1" s="42"/>
      <c r="P1" s="42"/>
      <c r="Q1" s="42"/>
      <c r="R1" s="42"/>
    </row>
    <row r="2" spans="1:18" ht="32.25" thickBot="1">
      <c r="A2" s="1"/>
      <c r="B2" s="7"/>
      <c r="C2" s="13"/>
      <c r="D2" s="4" t="s">
        <v>0</v>
      </c>
      <c r="E2" s="4"/>
      <c r="F2" s="40" t="s">
        <v>197</v>
      </c>
      <c r="G2" s="5"/>
      <c r="H2" s="3"/>
      <c r="I2" s="31"/>
      <c r="J2" s="32"/>
      <c r="K2" s="32"/>
      <c r="L2" s="32"/>
      <c r="M2" s="32"/>
      <c r="N2" s="32"/>
      <c r="O2" s="32"/>
      <c r="P2" s="32"/>
      <c r="Q2" s="32"/>
      <c r="R2" s="32"/>
    </row>
    <row r="3" spans="1:18" ht="16.5" thickBot="1">
      <c r="A3" s="1"/>
      <c r="B3" s="8"/>
      <c r="C3" s="26"/>
      <c r="D3" s="39" t="s">
        <v>1</v>
      </c>
      <c r="E3" s="27"/>
      <c r="F3" s="41" t="s">
        <v>198</v>
      </c>
      <c r="G3" s="29"/>
      <c r="H3" s="30"/>
      <c r="I3" s="28"/>
      <c r="J3" s="24"/>
      <c r="K3" s="24"/>
      <c r="L3" s="24"/>
      <c r="M3" s="24"/>
      <c r="N3" s="24"/>
      <c r="O3" s="24"/>
      <c r="P3" s="24"/>
      <c r="Q3" s="24"/>
      <c r="R3" s="24"/>
    </row>
    <row r="4" spans="1:18" ht="15" customHeight="1">
      <c r="A4" s="1"/>
      <c r="B4" s="8"/>
      <c r="C4" s="26"/>
      <c r="D4" s="27"/>
      <c r="E4" s="27"/>
      <c r="F4" s="25"/>
      <c r="G4" s="28"/>
      <c r="H4" s="24"/>
      <c r="I4" s="28"/>
      <c r="J4" s="24"/>
      <c r="K4" s="24"/>
      <c r="L4" s="24"/>
      <c r="M4" s="24"/>
      <c r="N4" s="24"/>
      <c r="O4" s="24"/>
      <c r="P4" s="24"/>
      <c r="Q4" s="24"/>
      <c r="R4" s="24"/>
    </row>
    <row r="5" spans="1:18" ht="15" customHeight="1">
      <c r="A5" s="1"/>
      <c r="B5" s="9"/>
      <c r="C5" s="33"/>
      <c r="D5" s="34"/>
      <c r="E5" s="34"/>
      <c r="F5" s="25"/>
      <c r="G5" s="34"/>
      <c r="H5" s="35"/>
      <c r="I5" s="34"/>
      <c r="J5" s="35"/>
      <c r="K5" s="35"/>
      <c r="L5" s="35"/>
      <c r="M5" s="35"/>
      <c r="N5" s="35"/>
      <c r="O5" s="35"/>
      <c r="P5" s="35"/>
      <c r="Q5" s="35"/>
      <c r="R5" s="35"/>
    </row>
    <row r="6" spans="1:18" ht="15.75" customHeight="1" thickBot="1">
      <c r="A6" s="1"/>
      <c r="B6" s="11"/>
      <c r="C6" s="36"/>
      <c r="D6" s="28"/>
      <c r="E6" s="28"/>
      <c r="F6" s="37"/>
      <c r="G6" s="34"/>
      <c r="H6" s="35"/>
      <c r="I6" s="34"/>
      <c r="J6" s="35"/>
      <c r="K6" s="35"/>
      <c r="L6" s="35"/>
      <c r="M6" s="35"/>
      <c r="N6" s="35"/>
      <c r="O6" s="35"/>
      <c r="P6" s="35"/>
      <c r="Q6" s="35"/>
      <c r="R6" s="35"/>
    </row>
    <row r="7" spans="1:18" ht="15.75" thickBot="1">
      <c r="A7" s="1"/>
      <c r="B7" s="12" t="s">
        <v>2</v>
      </c>
      <c r="C7" s="12" t="s">
        <v>5</v>
      </c>
      <c r="D7" s="12" t="s">
        <v>18</v>
      </c>
      <c r="E7" s="12" t="s">
        <v>52</v>
      </c>
      <c r="F7" s="12" t="s">
        <v>85</v>
      </c>
      <c r="G7" s="12" t="s">
        <v>101</v>
      </c>
      <c r="H7" s="12" t="s">
        <v>130</v>
      </c>
      <c r="I7" s="12" t="s">
        <v>199</v>
      </c>
      <c r="J7" s="12" t="s">
        <v>143</v>
      </c>
      <c r="K7" s="12" t="s">
        <v>200</v>
      </c>
      <c r="L7" s="12" t="s">
        <v>196</v>
      </c>
      <c r="M7" s="12" t="s">
        <v>201</v>
      </c>
      <c r="N7" s="12" t="s">
        <v>202</v>
      </c>
      <c r="O7" s="12" t="s">
        <v>203</v>
      </c>
      <c r="P7" s="12" t="s">
        <v>204</v>
      </c>
      <c r="Q7" s="12" t="s">
        <v>205</v>
      </c>
      <c r="R7" s="12" t="s">
        <v>206</v>
      </c>
    </row>
    <row r="8" spans="1:18" ht="24">
      <c r="A8" s="1"/>
      <c r="B8" s="16">
        <f>ROW(B8) - ROW($B$7)</f>
        <v>1</v>
      </c>
      <c r="C8" s="22" t="s">
        <v>6</v>
      </c>
      <c r="D8" s="14" t="s">
        <v>19</v>
      </c>
      <c r="E8" s="14" t="s">
        <v>53</v>
      </c>
      <c r="F8" s="14" t="s">
        <v>86</v>
      </c>
      <c r="G8" s="14" t="s">
        <v>102</v>
      </c>
      <c r="H8" s="14" t="s">
        <v>131</v>
      </c>
      <c r="I8" s="14" t="s">
        <v>208</v>
      </c>
      <c r="J8" s="14" t="s">
        <v>144</v>
      </c>
      <c r="K8" s="14" t="s">
        <v>177</v>
      </c>
      <c r="L8" s="14">
        <v>10</v>
      </c>
      <c r="M8" s="14">
        <f>L8*10</f>
        <v>100</v>
      </c>
      <c r="N8" s="14">
        <v>110</v>
      </c>
      <c r="O8" s="48" t="s">
        <v>248</v>
      </c>
      <c r="P8" s="15" t="s">
        <v>218</v>
      </c>
      <c r="Q8" s="15">
        <f>P8*N8</f>
        <v>5.2030000000000003</v>
      </c>
      <c r="R8" s="14"/>
    </row>
    <row r="9" spans="1:18" ht="36">
      <c r="A9" s="1"/>
      <c r="B9" s="17">
        <f t="shared" ref="B9:B39" si="0">ROW(B9) - ROW($B$7)</f>
        <v>2</v>
      </c>
      <c r="C9" s="23" t="s">
        <v>7</v>
      </c>
      <c r="D9" s="20" t="s">
        <v>20</v>
      </c>
      <c r="E9" s="20" t="s">
        <v>54</v>
      </c>
      <c r="F9" s="20" t="s">
        <v>86</v>
      </c>
      <c r="G9" s="20" t="s">
        <v>103</v>
      </c>
      <c r="H9" s="20" t="s">
        <v>131</v>
      </c>
      <c r="I9" s="14" t="s">
        <v>208</v>
      </c>
      <c r="J9" s="20" t="s">
        <v>145</v>
      </c>
      <c r="K9" s="20" t="s">
        <v>178</v>
      </c>
      <c r="L9" s="20">
        <v>21</v>
      </c>
      <c r="M9" s="14">
        <f t="shared" ref="M9:M41" si="1">L9*10</f>
        <v>210</v>
      </c>
      <c r="N9" s="20" t="s">
        <v>216</v>
      </c>
      <c r="O9" s="48" t="s">
        <v>248</v>
      </c>
      <c r="P9" s="21" t="s">
        <v>219</v>
      </c>
      <c r="Q9" s="21">
        <f t="shared" ref="Q9" si="2">P9*N9</f>
        <v>5.8250000000000002</v>
      </c>
      <c r="R9" s="20"/>
    </row>
    <row r="10" spans="1:18">
      <c r="A10" s="1"/>
      <c r="B10" s="16">
        <f>ROW(B10) - ROW($B$7)</f>
        <v>3</v>
      </c>
      <c r="C10" s="22" t="s">
        <v>7</v>
      </c>
      <c r="D10" s="14" t="s">
        <v>21</v>
      </c>
      <c r="E10" s="14" t="s">
        <v>55</v>
      </c>
      <c r="F10" s="14" t="s">
        <v>86</v>
      </c>
      <c r="G10" s="14" t="s">
        <v>104</v>
      </c>
      <c r="H10" s="14" t="s">
        <v>132</v>
      </c>
      <c r="I10" s="14" t="s">
        <v>208</v>
      </c>
      <c r="J10" s="14" t="s">
        <v>146</v>
      </c>
      <c r="K10" s="14" t="s">
        <v>179</v>
      </c>
      <c r="L10" s="14">
        <v>1</v>
      </c>
      <c r="M10" s="14">
        <f t="shared" si="1"/>
        <v>10</v>
      </c>
      <c r="N10" s="14" t="s">
        <v>217</v>
      </c>
      <c r="O10" s="48" t="s">
        <v>248</v>
      </c>
      <c r="P10" s="15" t="s">
        <v>220</v>
      </c>
      <c r="Q10" s="15">
        <f>P10*N10</f>
        <v>0.51400000000000001</v>
      </c>
      <c r="R10" s="14"/>
    </row>
    <row r="11" spans="1:18">
      <c r="A11" s="1"/>
      <c r="B11" s="17">
        <f t="shared" si="0"/>
        <v>4</v>
      </c>
      <c r="C11" s="23" t="s">
        <v>7</v>
      </c>
      <c r="D11" s="20" t="s">
        <v>22</v>
      </c>
      <c r="E11" s="20" t="s">
        <v>56</v>
      </c>
      <c r="F11" s="20" t="s">
        <v>87</v>
      </c>
      <c r="G11" s="20" t="s">
        <v>105</v>
      </c>
      <c r="H11" s="20" t="s">
        <v>131</v>
      </c>
      <c r="I11" s="14" t="s">
        <v>208</v>
      </c>
      <c r="J11" s="20" t="s">
        <v>147</v>
      </c>
      <c r="K11" s="20" t="s">
        <v>177</v>
      </c>
      <c r="L11" s="20">
        <v>2</v>
      </c>
      <c r="M11" s="14">
        <f t="shared" si="1"/>
        <v>20</v>
      </c>
      <c r="N11" s="20">
        <v>25</v>
      </c>
      <c r="O11" s="48" t="s">
        <v>248</v>
      </c>
      <c r="P11" s="21" t="s">
        <v>221</v>
      </c>
      <c r="Q11" s="21">
        <f t="shared" ref="Q11" si="3">P11*N11</f>
        <v>4.9775</v>
      </c>
      <c r="R11" s="20"/>
    </row>
    <row r="12" spans="1:18">
      <c r="A12" s="1"/>
      <c r="B12" s="16">
        <f>ROW(B12) - ROW($B$7)</f>
        <v>5</v>
      </c>
      <c r="C12" s="22" t="s">
        <v>6</v>
      </c>
      <c r="D12" s="14" t="s">
        <v>23</v>
      </c>
      <c r="E12" s="14" t="s">
        <v>57</v>
      </c>
      <c r="F12" s="14" t="s">
        <v>88</v>
      </c>
      <c r="G12" s="14" t="s">
        <v>106</v>
      </c>
      <c r="H12" s="14" t="s">
        <v>131</v>
      </c>
      <c r="I12" s="14" t="s">
        <v>208</v>
      </c>
      <c r="J12" s="14" t="s">
        <v>148</v>
      </c>
      <c r="K12" s="14" t="s">
        <v>180</v>
      </c>
      <c r="L12" s="14">
        <v>2</v>
      </c>
      <c r="M12" s="14">
        <f t="shared" si="1"/>
        <v>20</v>
      </c>
      <c r="N12" s="14">
        <v>25</v>
      </c>
      <c r="O12" s="48" t="s">
        <v>248</v>
      </c>
      <c r="P12" s="15" t="s">
        <v>222</v>
      </c>
      <c r="Q12" s="15">
        <f>P12*N12</f>
        <v>2.2349999999999999</v>
      </c>
      <c r="R12" s="14"/>
    </row>
    <row r="13" spans="1:18">
      <c r="A13" s="1"/>
      <c r="B13" s="17">
        <f t="shared" si="0"/>
        <v>6</v>
      </c>
      <c r="C13" s="23" t="s">
        <v>7</v>
      </c>
      <c r="D13" s="20" t="s">
        <v>24</v>
      </c>
      <c r="E13" s="20" t="s">
        <v>58</v>
      </c>
      <c r="F13" s="20" t="s">
        <v>86</v>
      </c>
      <c r="G13" s="20" t="s">
        <v>107</v>
      </c>
      <c r="H13" s="20" t="s">
        <v>131</v>
      </c>
      <c r="I13" s="14" t="s">
        <v>208</v>
      </c>
      <c r="J13" s="20" t="s">
        <v>149</v>
      </c>
      <c r="K13" s="20" t="s">
        <v>181</v>
      </c>
      <c r="L13" s="20">
        <v>1</v>
      </c>
      <c r="M13" s="14">
        <f t="shared" si="1"/>
        <v>10</v>
      </c>
      <c r="N13" s="20">
        <v>20</v>
      </c>
      <c r="O13" s="48" t="s">
        <v>248</v>
      </c>
      <c r="P13" s="21" t="s">
        <v>223</v>
      </c>
      <c r="Q13" s="21">
        <f t="shared" ref="Q13" si="4">P13*N13</f>
        <v>0.88600000000000001</v>
      </c>
      <c r="R13" s="20"/>
    </row>
    <row r="14" spans="1:18">
      <c r="A14" s="1"/>
      <c r="B14" s="16">
        <f>ROW(B14) - ROW($B$7)</f>
        <v>7</v>
      </c>
      <c r="C14" s="22" t="s">
        <v>7</v>
      </c>
      <c r="D14" s="14" t="s">
        <v>25</v>
      </c>
      <c r="E14" s="14" t="s">
        <v>59</v>
      </c>
      <c r="F14" s="14" t="s">
        <v>87</v>
      </c>
      <c r="G14" s="14" t="s">
        <v>108</v>
      </c>
      <c r="H14" s="14" t="s">
        <v>132</v>
      </c>
      <c r="I14" s="14" t="s">
        <v>208</v>
      </c>
      <c r="J14" s="14" t="s">
        <v>150</v>
      </c>
      <c r="K14" s="14" t="s">
        <v>182</v>
      </c>
      <c r="L14" s="14">
        <v>1</v>
      </c>
      <c r="M14" s="14">
        <f t="shared" si="1"/>
        <v>10</v>
      </c>
      <c r="N14" s="14">
        <v>15</v>
      </c>
      <c r="O14" s="48" t="s">
        <v>248</v>
      </c>
      <c r="P14" s="15" t="s">
        <v>224</v>
      </c>
      <c r="Q14" s="15">
        <f>P14*N14</f>
        <v>5.1749999999999998</v>
      </c>
      <c r="R14" s="14"/>
    </row>
    <row r="15" spans="1:18">
      <c r="A15" s="1"/>
      <c r="B15" s="17">
        <f t="shared" si="0"/>
        <v>8</v>
      </c>
      <c r="C15" s="23" t="s">
        <v>7</v>
      </c>
      <c r="D15" s="20" t="s">
        <v>26</v>
      </c>
      <c r="E15" s="20" t="s">
        <v>60</v>
      </c>
      <c r="F15" s="20" t="s">
        <v>86</v>
      </c>
      <c r="G15" s="20" t="s">
        <v>109</v>
      </c>
      <c r="H15" s="20" t="s">
        <v>131</v>
      </c>
      <c r="I15" s="14" t="s">
        <v>208</v>
      </c>
      <c r="J15" s="20" t="s">
        <v>151</v>
      </c>
      <c r="K15" s="20" t="s">
        <v>183</v>
      </c>
      <c r="L15" s="20">
        <v>1</v>
      </c>
      <c r="M15" s="14">
        <f t="shared" si="1"/>
        <v>10</v>
      </c>
      <c r="N15" s="20">
        <v>20</v>
      </c>
      <c r="O15" s="48" t="s">
        <v>248</v>
      </c>
      <c r="P15" s="21" t="s">
        <v>225</v>
      </c>
      <c r="Q15" s="21">
        <f t="shared" ref="Q15" si="5">P15*N15</f>
        <v>0.81799999999999995</v>
      </c>
      <c r="R15" s="20"/>
    </row>
    <row r="16" spans="1:18" ht="48">
      <c r="A16" s="1"/>
      <c r="B16" s="16">
        <f>ROW(B16) - ROW($B$7)</f>
        <v>9</v>
      </c>
      <c r="C16" s="22" t="s">
        <v>8</v>
      </c>
      <c r="D16" s="14" t="s">
        <v>27</v>
      </c>
      <c r="E16" s="14" t="s">
        <v>61</v>
      </c>
      <c r="F16" s="14" t="s">
        <v>210</v>
      </c>
      <c r="G16" s="14" t="s">
        <v>89</v>
      </c>
      <c r="H16" s="14" t="s">
        <v>133</v>
      </c>
      <c r="I16" s="14" t="s">
        <v>208</v>
      </c>
      <c r="J16" s="14" t="s">
        <v>152</v>
      </c>
      <c r="K16" s="45" t="s">
        <v>208</v>
      </c>
      <c r="L16" s="14">
        <v>1</v>
      </c>
      <c r="M16" s="14">
        <f t="shared" si="1"/>
        <v>10</v>
      </c>
      <c r="N16" s="14">
        <v>15</v>
      </c>
      <c r="O16" s="48" t="s">
        <v>248</v>
      </c>
      <c r="P16" s="15" t="s">
        <v>226</v>
      </c>
      <c r="Q16" s="15">
        <f>P16*N16</f>
        <v>1.4684999999999999</v>
      </c>
      <c r="R16" s="14"/>
    </row>
    <row r="17" spans="1:18" ht="48">
      <c r="A17" s="1"/>
      <c r="B17" s="17">
        <f t="shared" si="0"/>
        <v>10</v>
      </c>
      <c r="C17" s="23" t="s">
        <v>9</v>
      </c>
      <c r="D17" s="20" t="s">
        <v>28</v>
      </c>
      <c r="E17" s="20" t="s">
        <v>62</v>
      </c>
      <c r="F17" s="20" t="s">
        <v>90</v>
      </c>
      <c r="G17" s="20" t="s">
        <v>110</v>
      </c>
      <c r="H17" s="20" t="s">
        <v>133</v>
      </c>
      <c r="I17" s="14" t="s">
        <v>208</v>
      </c>
      <c r="J17" s="20" t="s">
        <v>153</v>
      </c>
      <c r="K17" s="45" t="s">
        <v>208</v>
      </c>
      <c r="L17" s="20">
        <v>1</v>
      </c>
      <c r="M17" s="14">
        <f t="shared" si="1"/>
        <v>10</v>
      </c>
      <c r="N17" s="20">
        <v>15</v>
      </c>
      <c r="O17" s="48" t="s">
        <v>248</v>
      </c>
      <c r="P17" s="21" t="s">
        <v>227</v>
      </c>
      <c r="Q17" s="21">
        <f t="shared" ref="Q17" si="6">P17*N17</f>
        <v>1.7745</v>
      </c>
      <c r="R17" s="20"/>
    </row>
    <row r="18" spans="1:18" ht="25.5">
      <c r="A18" s="1"/>
      <c r="B18" s="16">
        <f>ROW(B18) - ROW($B$7)</f>
        <v>11</v>
      </c>
      <c r="C18" s="22" t="s">
        <v>10</v>
      </c>
      <c r="D18" s="14" t="s">
        <v>29</v>
      </c>
      <c r="E18" s="14" t="s">
        <v>63</v>
      </c>
      <c r="F18" s="14" t="s">
        <v>210</v>
      </c>
      <c r="G18" s="14" t="s">
        <v>91</v>
      </c>
      <c r="H18" s="14" t="s">
        <v>134</v>
      </c>
      <c r="I18" s="14" t="s">
        <v>208</v>
      </c>
      <c r="J18" s="14" t="s">
        <v>154</v>
      </c>
      <c r="K18" s="45" t="s">
        <v>208</v>
      </c>
      <c r="L18" s="14">
        <v>1</v>
      </c>
      <c r="M18" s="14">
        <f t="shared" si="1"/>
        <v>10</v>
      </c>
      <c r="N18" s="14">
        <v>15</v>
      </c>
      <c r="O18" s="48" t="s">
        <v>248</v>
      </c>
      <c r="P18" s="15" t="s">
        <v>228</v>
      </c>
      <c r="Q18" s="15">
        <f>P18*N18</f>
        <v>1.488</v>
      </c>
      <c r="R18" s="14"/>
    </row>
    <row r="19" spans="1:18" ht="36">
      <c r="A19" s="1"/>
      <c r="B19" s="17">
        <f t="shared" si="0"/>
        <v>12</v>
      </c>
      <c r="C19" s="23" t="s">
        <v>10</v>
      </c>
      <c r="D19" s="20" t="s">
        <v>30</v>
      </c>
      <c r="E19" s="20" t="s">
        <v>64</v>
      </c>
      <c r="F19" s="14" t="s">
        <v>210</v>
      </c>
      <c r="G19" s="20" t="s">
        <v>92</v>
      </c>
      <c r="H19" s="20" t="s">
        <v>135</v>
      </c>
      <c r="I19" s="14" t="s">
        <v>208</v>
      </c>
      <c r="J19" s="20" t="s">
        <v>155</v>
      </c>
      <c r="K19" s="45" t="s">
        <v>208</v>
      </c>
      <c r="L19" s="20">
        <v>5</v>
      </c>
      <c r="M19" s="14">
        <f t="shared" si="1"/>
        <v>50</v>
      </c>
      <c r="N19" s="20">
        <v>55</v>
      </c>
      <c r="O19" s="48" t="s">
        <v>248</v>
      </c>
      <c r="P19" s="21" t="s">
        <v>229</v>
      </c>
      <c r="Q19" s="21">
        <f t="shared" ref="Q19" si="7">P19*N19</f>
        <v>13.992000000000001</v>
      </c>
      <c r="R19" s="20"/>
    </row>
    <row r="20" spans="1:18">
      <c r="A20" s="1"/>
      <c r="B20" s="16">
        <f>ROW(B20) - ROW($B$7)</f>
        <v>13</v>
      </c>
      <c r="C20" s="22" t="s">
        <v>11</v>
      </c>
      <c r="D20" s="14" t="s">
        <v>31</v>
      </c>
      <c r="E20" s="14" t="s">
        <v>65</v>
      </c>
      <c r="F20" s="14" t="s">
        <v>210</v>
      </c>
      <c r="G20" s="14" t="s">
        <v>111</v>
      </c>
      <c r="H20" s="14" t="s">
        <v>136</v>
      </c>
      <c r="I20" s="14" t="s">
        <v>208</v>
      </c>
      <c r="J20" s="14" t="s">
        <v>156</v>
      </c>
      <c r="K20" s="14" t="s">
        <v>184</v>
      </c>
      <c r="L20" s="14">
        <v>1</v>
      </c>
      <c r="M20" s="14">
        <f t="shared" si="1"/>
        <v>10</v>
      </c>
      <c r="N20" s="14">
        <v>11</v>
      </c>
      <c r="O20" s="48" t="s">
        <v>248</v>
      </c>
      <c r="P20" s="15" t="s">
        <v>230</v>
      </c>
      <c r="Q20" s="15">
        <f>P20*N20</f>
        <v>5.8585999999999991</v>
      </c>
      <c r="R20" s="14"/>
    </row>
    <row r="21" spans="1:18" ht="24">
      <c r="A21" s="1"/>
      <c r="B21" s="17">
        <f t="shared" si="0"/>
        <v>14</v>
      </c>
      <c r="C21" s="23" t="s">
        <v>12</v>
      </c>
      <c r="D21" s="20" t="s">
        <v>32</v>
      </c>
      <c r="E21" s="20" t="s">
        <v>66</v>
      </c>
      <c r="F21" s="20" t="s">
        <v>93</v>
      </c>
      <c r="G21" s="20" t="s">
        <v>112</v>
      </c>
      <c r="H21" s="20" t="s">
        <v>137</v>
      </c>
      <c r="I21" s="14" t="s">
        <v>208</v>
      </c>
      <c r="J21" s="20" t="s">
        <v>157</v>
      </c>
      <c r="K21" s="47" t="s">
        <v>208</v>
      </c>
      <c r="L21" s="20">
        <v>4</v>
      </c>
      <c r="M21" s="14">
        <f t="shared" si="1"/>
        <v>40</v>
      </c>
      <c r="N21" s="20">
        <v>60</v>
      </c>
      <c r="O21" s="48" t="s">
        <v>248</v>
      </c>
      <c r="P21" s="21" t="s">
        <v>231</v>
      </c>
      <c r="Q21" s="21">
        <f t="shared" ref="Q21" si="8">P21*N21</f>
        <v>2.016</v>
      </c>
      <c r="R21" s="20"/>
    </row>
    <row r="22" spans="1:18" ht="24">
      <c r="A22" s="1"/>
      <c r="B22" s="16">
        <f>ROW(B22) - ROW($B$7)</f>
        <v>15</v>
      </c>
      <c r="C22" s="22" t="s">
        <v>12</v>
      </c>
      <c r="D22" s="14" t="s">
        <v>33</v>
      </c>
      <c r="E22" s="14" t="s">
        <v>67</v>
      </c>
      <c r="F22" s="14" t="s">
        <v>93</v>
      </c>
      <c r="G22" s="14" t="s">
        <v>113</v>
      </c>
      <c r="H22" s="14" t="s">
        <v>137</v>
      </c>
      <c r="I22" s="14" t="s">
        <v>208</v>
      </c>
      <c r="J22" s="14" t="s">
        <v>158</v>
      </c>
      <c r="K22" s="47" t="s">
        <v>208</v>
      </c>
      <c r="L22" s="14">
        <v>1</v>
      </c>
      <c r="M22" s="14">
        <f t="shared" si="1"/>
        <v>10</v>
      </c>
      <c r="N22" s="14" t="s">
        <v>217</v>
      </c>
      <c r="O22" s="48" t="s">
        <v>248</v>
      </c>
      <c r="P22" s="15" t="s">
        <v>232</v>
      </c>
      <c r="Q22" s="15">
        <f>P22*N22</f>
        <v>0.496</v>
      </c>
      <c r="R22" s="14"/>
    </row>
    <row r="23" spans="1:18">
      <c r="A23" s="1"/>
      <c r="B23" s="17">
        <f t="shared" si="0"/>
        <v>16</v>
      </c>
      <c r="C23" s="23" t="s">
        <v>13</v>
      </c>
      <c r="D23" s="20" t="s">
        <v>34</v>
      </c>
      <c r="E23" s="20" t="s">
        <v>68</v>
      </c>
      <c r="F23" s="20" t="s">
        <v>94</v>
      </c>
      <c r="G23" s="20" t="s">
        <v>114</v>
      </c>
      <c r="H23" s="20" t="s">
        <v>132</v>
      </c>
      <c r="I23" s="14" t="s">
        <v>208</v>
      </c>
      <c r="J23" s="20" t="s">
        <v>159</v>
      </c>
      <c r="K23" s="20" t="s">
        <v>185</v>
      </c>
      <c r="L23" s="20">
        <v>1</v>
      </c>
      <c r="M23" s="14">
        <f t="shared" si="1"/>
        <v>10</v>
      </c>
      <c r="N23" s="20" t="s">
        <v>215</v>
      </c>
      <c r="O23" s="48" t="s">
        <v>248</v>
      </c>
      <c r="P23" s="21" t="s">
        <v>233</v>
      </c>
      <c r="Q23" s="21">
        <f t="shared" ref="Q23" si="9">P23*N23</f>
        <v>0.11</v>
      </c>
      <c r="R23" s="20"/>
    </row>
    <row r="24" spans="1:18">
      <c r="A24" s="1"/>
      <c r="B24" s="16">
        <f>ROW(B24) - ROW($B$7)</f>
        <v>17</v>
      </c>
      <c r="C24" s="22" t="s">
        <v>13</v>
      </c>
      <c r="D24" s="14" t="s">
        <v>35</v>
      </c>
      <c r="E24" s="14" t="s">
        <v>69</v>
      </c>
      <c r="F24" s="14" t="s">
        <v>94</v>
      </c>
      <c r="G24" s="14" t="s">
        <v>115</v>
      </c>
      <c r="H24" s="14" t="s">
        <v>132</v>
      </c>
      <c r="I24" s="14" t="s">
        <v>208</v>
      </c>
      <c r="J24" s="14" t="s">
        <v>160</v>
      </c>
      <c r="K24" s="14" t="s">
        <v>186</v>
      </c>
      <c r="L24" s="14">
        <v>3</v>
      </c>
      <c r="M24" s="14">
        <f t="shared" si="1"/>
        <v>30</v>
      </c>
      <c r="N24" s="14" t="s">
        <v>215</v>
      </c>
      <c r="O24" s="48" t="s">
        <v>248</v>
      </c>
      <c r="P24" s="15" t="s">
        <v>233</v>
      </c>
      <c r="Q24" s="15">
        <f>P24*N24</f>
        <v>0.11</v>
      </c>
      <c r="R24" s="14"/>
    </row>
    <row r="25" spans="1:18">
      <c r="A25" s="1"/>
      <c r="B25" s="17">
        <f t="shared" si="0"/>
        <v>18</v>
      </c>
      <c r="C25" s="23" t="s">
        <v>13</v>
      </c>
      <c r="D25" s="20" t="s">
        <v>36</v>
      </c>
      <c r="E25" s="20" t="s">
        <v>70</v>
      </c>
      <c r="F25" s="20" t="s">
        <v>94</v>
      </c>
      <c r="G25" s="20" t="s">
        <v>116</v>
      </c>
      <c r="H25" s="20" t="s">
        <v>132</v>
      </c>
      <c r="I25" s="14" t="s">
        <v>208</v>
      </c>
      <c r="J25" s="20" t="s">
        <v>161</v>
      </c>
      <c r="K25" s="20" t="s">
        <v>187</v>
      </c>
      <c r="L25" s="20">
        <v>7</v>
      </c>
      <c r="M25" s="14">
        <f t="shared" si="1"/>
        <v>70</v>
      </c>
      <c r="N25" s="20" t="s">
        <v>215</v>
      </c>
      <c r="O25" s="48" t="s">
        <v>248</v>
      </c>
      <c r="P25" s="21" t="s">
        <v>233</v>
      </c>
      <c r="Q25" s="21">
        <f t="shared" ref="Q25" si="10">P25*N25</f>
        <v>0.11</v>
      </c>
      <c r="R25" s="20"/>
    </row>
    <row r="26" spans="1:18">
      <c r="A26" s="1"/>
      <c r="B26" s="16">
        <f>ROW(B26) - ROW($B$7)</f>
        <v>19</v>
      </c>
      <c r="C26" s="22" t="s">
        <v>13</v>
      </c>
      <c r="D26" s="14" t="s">
        <v>37</v>
      </c>
      <c r="E26" s="14" t="s">
        <v>71</v>
      </c>
      <c r="F26" s="14" t="s">
        <v>94</v>
      </c>
      <c r="G26" s="14" t="s">
        <v>117</v>
      </c>
      <c r="H26" s="14" t="s">
        <v>132</v>
      </c>
      <c r="I26" s="14" t="s">
        <v>208</v>
      </c>
      <c r="J26" s="14" t="s">
        <v>162</v>
      </c>
      <c r="K26" s="14" t="s">
        <v>188</v>
      </c>
      <c r="L26" s="14">
        <v>5</v>
      </c>
      <c r="M26" s="14">
        <f t="shared" si="1"/>
        <v>50</v>
      </c>
      <c r="N26" s="14" t="s">
        <v>215</v>
      </c>
      <c r="O26" s="48" t="s">
        <v>248</v>
      </c>
      <c r="P26" s="15" t="s">
        <v>234</v>
      </c>
      <c r="Q26" s="15">
        <f>P26*N26</f>
        <v>0.12</v>
      </c>
      <c r="R26" s="14"/>
    </row>
    <row r="27" spans="1:18">
      <c r="A27" s="1"/>
      <c r="B27" s="17">
        <f t="shared" si="0"/>
        <v>20</v>
      </c>
      <c r="C27" s="23" t="s">
        <v>13</v>
      </c>
      <c r="D27" s="20" t="s">
        <v>38</v>
      </c>
      <c r="E27" s="20" t="s">
        <v>72</v>
      </c>
      <c r="F27" s="20" t="s">
        <v>94</v>
      </c>
      <c r="G27" s="20" t="s">
        <v>118</v>
      </c>
      <c r="H27" s="20" t="s">
        <v>132</v>
      </c>
      <c r="I27" s="14" t="s">
        <v>208</v>
      </c>
      <c r="J27" s="20" t="s">
        <v>163</v>
      </c>
      <c r="K27" s="20" t="s">
        <v>189</v>
      </c>
      <c r="L27" s="20">
        <v>3</v>
      </c>
      <c r="M27" s="14">
        <f t="shared" si="1"/>
        <v>30</v>
      </c>
      <c r="N27" s="20" t="s">
        <v>215</v>
      </c>
      <c r="O27" s="48" t="s">
        <v>248</v>
      </c>
      <c r="P27" s="21" t="s">
        <v>233</v>
      </c>
      <c r="Q27" s="21">
        <f t="shared" ref="Q27" si="11">P27*N27</f>
        <v>0.11</v>
      </c>
      <c r="R27" s="20"/>
    </row>
    <row r="28" spans="1:18">
      <c r="A28" s="1"/>
      <c r="B28" s="16">
        <f>ROW(B28) - ROW($B$7)</f>
        <v>21</v>
      </c>
      <c r="C28" s="22" t="s">
        <v>14</v>
      </c>
      <c r="D28" s="14" t="s">
        <v>39</v>
      </c>
      <c r="E28" s="14" t="s">
        <v>73</v>
      </c>
      <c r="F28" s="14" t="s">
        <v>94</v>
      </c>
      <c r="G28" s="14" t="s">
        <v>119</v>
      </c>
      <c r="H28" s="14" t="s">
        <v>132</v>
      </c>
      <c r="I28" s="14" t="s">
        <v>208</v>
      </c>
      <c r="J28" s="14" t="s">
        <v>164</v>
      </c>
      <c r="K28" s="14" t="s">
        <v>190</v>
      </c>
      <c r="L28" s="14">
        <v>1</v>
      </c>
      <c r="M28" s="14">
        <f t="shared" si="1"/>
        <v>10</v>
      </c>
      <c r="N28" s="14" t="s">
        <v>217</v>
      </c>
      <c r="O28" s="48" t="s">
        <v>248</v>
      </c>
      <c r="P28" s="15" t="s">
        <v>235</v>
      </c>
      <c r="Q28" s="15">
        <f>P28*N28</f>
        <v>0.498</v>
      </c>
      <c r="R28" s="14"/>
    </row>
    <row r="29" spans="1:18">
      <c r="A29" s="1"/>
      <c r="B29" s="17">
        <f t="shared" si="0"/>
        <v>22</v>
      </c>
      <c r="C29" s="23" t="s">
        <v>13</v>
      </c>
      <c r="D29" s="20" t="s">
        <v>40</v>
      </c>
      <c r="E29" s="20" t="s">
        <v>74</v>
      </c>
      <c r="F29" s="20" t="s">
        <v>94</v>
      </c>
      <c r="G29" s="20" t="s">
        <v>120</v>
      </c>
      <c r="H29" s="20" t="s">
        <v>132</v>
      </c>
      <c r="I29" s="14" t="s">
        <v>208</v>
      </c>
      <c r="J29" s="20" t="s">
        <v>165</v>
      </c>
      <c r="K29" s="20" t="s">
        <v>191</v>
      </c>
      <c r="L29" s="20">
        <v>1</v>
      </c>
      <c r="M29" s="14">
        <f t="shared" si="1"/>
        <v>10</v>
      </c>
      <c r="N29" s="20" t="s">
        <v>215</v>
      </c>
      <c r="O29" s="48" t="s">
        <v>248</v>
      </c>
      <c r="P29" s="21" t="s">
        <v>236</v>
      </c>
      <c r="Q29" s="21">
        <f t="shared" ref="Q29" si="12">P29*N29</f>
        <v>0.13</v>
      </c>
      <c r="R29" s="20"/>
    </row>
    <row r="30" spans="1:18">
      <c r="A30" s="1"/>
      <c r="B30" s="16">
        <f>ROW(B30) - ROW($B$7)</f>
        <v>23</v>
      </c>
      <c r="C30" s="22" t="s">
        <v>14</v>
      </c>
      <c r="D30" s="14" t="s">
        <v>41</v>
      </c>
      <c r="E30" s="14" t="s">
        <v>75</v>
      </c>
      <c r="F30" s="14" t="s">
        <v>94</v>
      </c>
      <c r="G30" s="14" t="s">
        <v>121</v>
      </c>
      <c r="H30" s="14" t="s">
        <v>132</v>
      </c>
      <c r="I30" s="14" t="s">
        <v>208</v>
      </c>
      <c r="J30" s="14" t="s">
        <v>166</v>
      </c>
      <c r="K30" s="14" t="s">
        <v>192</v>
      </c>
      <c r="L30" s="14">
        <v>1</v>
      </c>
      <c r="M30" s="14">
        <f t="shared" si="1"/>
        <v>10</v>
      </c>
      <c r="N30" s="14" t="s">
        <v>217</v>
      </c>
      <c r="O30" s="48" t="s">
        <v>248</v>
      </c>
      <c r="P30" s="15" t="s">
        <v>237</v>
      </c>
      <c r="Q30" s="15">
        <f>P30*N30</f>
        <v>0.502</v>
      </c>
      <c r="R30" s="14"/>
    </row>
    <row r="31" spans="1:18">
      <c r="A31" s="1"/>
      <c r="B31" s="17">
        <f t="shared" si="0"/>
        <v>24</v>
      </c>
      <c r="C31" s="23" t="s">
        <v>14</v>
      </c>
      <c r="D31" s="20" t="s">
        <v>42</v>
      </c>
      <c r="E31" s="20" t="s">
        <v>76</v>
      </c>
      <c r="F31" s="20" t="s">
        <v>94</v>
      </c>
      <c r="G31" s="20" t="s">
        <v>122</v>
      </c>
      <c r="H31" s="20" t="s">
        <v>132</v>
      </c>
      <c r="I31" s="14" t="s">
        <v>208</v>
      </c>
      <c r="J31" s="20" t="s">
        <v>167</v>
      </c>
      <c r="K31" s="20" t="s">
        <v>193</v>
      </c>
      <c r="L31" s="20">
        <v>1</v>
      </c>
      <c r="M31" s="14">
        <f t="shared" si="1"/>
        <v>10</v>
      </c>
      <c r="N31" s="20" t="s">
        <v>217</v>
      </c>
      <c r="O31" s="48" t="s">
        <v>248</v>
      </c>
      <c r="P31" s="21" t="s">
        <v>219</v>
      </c>
      <c r="Q31" s="21">
        <f t="shared" ref="Q31" si="13">P31*N31</f>
        <v>0.46600000000000003</v>
      </c>
      <c r="R31" s="20"/>
    </row>
    <row r="32" spans="1:18">
      <c r="A32" s="1"/>
      <c r="B32" s="16">
        <f>ROW(B32) - ROW($B$7)</f>
        <v>25</v>
      </c>
      <c r="C32" s="22" t="s">
        <v>14</v>
      </c>
      <c r="D32" s="14" t="s">
        <v>43</v>
      </c>
      <c r="E32" s="14" t="s">
        <v>77</v>
      </c>
      <c r="F32" s="14" t="s">
        <v>94</v>
      </c>
      <c r="G32" s="14" t="s">
        <v>123</v>
      </c>
      <c r="H32" s="14" t="s">
        <v>132</v>
      </c>
      <c r="I32" s="14" t="s">
        <v>208</v>
      </c>
      <c r="J32" s="14" t="s">
        <v>168</v>
      </c>
      <c r="K32" s="14" t="s">
        <v>194</v>
      </c>
      <c r="L32" s="14">
        <v>1</v>
      </c>
      <c r="M32" s="14">
        <f t="shared" si="1"/>
        <v>10</v>
      </c>
      <c r="N32" s="14" t="s">
        <v>217</v>
      </c>
      <c r="O32" s="48" t="s">
        <v>248</v>
      </c>
      <c r="P32" s="15" t="s">
        <v>238</v>
      </c>
      <c r="Q32" s="15">
        <f>P32*N32</f>
        <v>0.48</v>
      </c>
      <c r="R32" s="14"/>
    </row>
    <row r="33" spans="1:18">
      <c r="A33" s="1"/>
      <c r="B33" s="17">
        <f t="shared" si="0"/>
        <v>26</v>
      </c>
      <c r="C33" s="23" t="s">
        <v>14</v>
      </c>
      <c r="D33" s="20" t="s">
        <v>44</v>
      </c>
      <c r="E33" s="20" t="s">
        <v>78</v>
      </c>
      <c r="F33" s="20" t="s">
        <v>94</v>
      </c>
      <c r="G33" s="20" t="s">
        <v>124</v>
      </c>
      <c r="H33" s="20" t="s">
        <v>132</v>
      </c>
      <c r="I33" s="14" t="s">
        <v>208</v>
      </c>
      <c r="J33" s="20" t="s">
        <v>169</v>
      </c>
      <c r="K33" s="20" t="s">
        <v>195</v>
      </c>
      <c r="L33" s="20">
        <v>1</v>
      </c>
      <c r="M33" s="14">
        <f t="shared" si="1"/>
        <v>10</v>
      </c>
      <c r="N33" s="20" t="s">
        <v>215</v>
      </c>
      <c r="O33" s="48" t="s">
        <v>248</v>
      </c>
      <c r="P33" s="21" t="s">
        <v>239</v>
      </c>
      <c r="Q33" s="21">
        <f t="shared" ref="Q33" si="14">P33*N33</f>
        <v>0.08</v>
      </c>
      <c r="R33" s="20"/>
    </row>
    <row r="34" spans="1:18" ht="48">
      <c r="A34" s="1"/>
      <c r="B34" s="16">
        <f>ROW(B34) - ROW($B$7)</f>
        <v>27</v>
      </c>
      <c r="C34" s="22" t="s">
        <v>15</v>
      </c>
      <c r="D34" s="14" t="s">
        <v>45</v>
      </c>
      <c r="E34" s="14" t="s">
        <v>79</v>
      </c>
      <c r="F34" s="14" t="s">
        <v>210</v>
      </c>
      <c r="G34" s="14" t="s">
        <v>95</v>
      </c>
      <c r="H34" s="14" t="s">
        <v>138</v>
      </c>
      <c r="I34" s="14" t="s">
        <v>208</v>
      </c>
      <c r="J34" s="14" t="s">
        <v>170</v>
      </c>
      <c r="K34" s="45" t="s">
        <v>208</v>
      </c>
      <c r="L34" s="14">
        <v>2</v>
      </c>
      <c r="M34" s="14">
        <f t="shared" si="1"/>
        <v>20</v>
      </c>
      <c r="N34" s="14">
        <v>30</v>
      </c>
      <c r="O34" s="48" t="s">
        <v>248</v>
      </c>
      <c r="P34" s="15" t="s">
        <v>240</v>
      </c>
      <c r="Q34" s="15">
        <f>P34*N34</f>
        <v>1.2210000000000001</v>
      </c>
      <c r="R34" s="14"/>
    </row>
    <row r="35" spans="1:18">
      <c r="A35" s="1"/>
      <c r="B35" s="17">
        <f t="shared" si="0"/>
        <v>28</v>
      </c>
      <c r="C35" s="23" t="s">
        <v>16</v>
      </c>
      <c r="D35" s="20" t="s">
        <v>46</v>
      </c>
      <c r="E35" s="20" t="s">
        <v>80</v>
      </c>
      <c r="F35" s="20" t="s">
        <v>96</v>
      </c>
      <c r="G35" s="20" t="s">
        <v>125</v>
      </c>
      <c r="H35" s="20" t="s">
        <v>139</v>
      </c>
      <c r="I35" s="14" t="s">
        <v>208</v>
      </c>
      <c r="J35" s="20" t="s">
        <v>171</v>
      </c>
      <c r="K35" s="45" t="s">
        <v>208</v>
      </c>
      <c r="L35" s="20">
        <v>1</v>
      </c>
      <c r="M35" s="14">
        <f t="shared" si="1"/>
        <v>10</v>
      </c>
      <c r="N35" s="20">
        <v>11</v>
      </c>
      <c r="O35" s="48" t="s">
        <v>248</v>
      </c>
      <c r="P35" s="21" t="s">
        <v>241</v>
      </c>
      <c r="Q35" s="21">
        <f t="shared" ref="Q35" si="15">P35*N35</f>
        <v>21.931799999999999</v>
      </c>
      <c r="R35" s="20"/>
    </row>
    <row r="36" spans="1:18">
      <c r="A36" s="1"/>
      <c r="B36" s="16">
        <f>ROW(B36) - ROW($B$7)</f>
        <v>29</v>
      </c>
      <c r="C36" s="22" t="s">
        <v>16</v>
      </c>
      <c r="D36" s="14" t="s">
        <v>47</v>
      </c>
      <c r="E36" s="14" t="s">
        <v>81</v>
      </c>
      <c r="F36" s="14" t="s">
        <v>97</v>
      </c>
      <c r="G36" s="14" t="s">
        <v>126</v>
      </c>
      <c r="H36" s="14" t="s">
        <v>140</v>
      </c>
      <c r="I36" s="14" t="s">
        <v>208</v>
      </c>
      <c r="J36" s="14" t="s">
        <v>172</v>
      </c>
      <c r="K36" s="45" t="s">
        <v>208</v>
      </c>
      <c r="L36" s="14">
        <v>1</v>
      </c>
      <c r="M36" s="14">
        <f t="shared" si="1"/>
        <v>10</v>
      </c>
      <c r="N36" s="14">
        <v>11</v>
      </c>
      <c r="O36" s="48" t="s">
        <v>248</v>
      </c>
      <c r="P36" s="15" t="s">
        <v>242</v>
      </c>
      <c r="Q36" s="15">
        <f>P36*N36</f>
        <v>3.8719999999999999</v>
      </c>
      <c r="R36" s="14"/>
    </row>
    <row r="37" spans="1:18" ht="24">
      <c r="A37" s="1"/>
      <c r="B37" s="17">
        <f t="shared" si="0"/>
        <v>30</v>
      </c>
      <c r="C37" s="23" t="s">
        <v>16</v>
      </c>
      <c r="D37" s="20" t="s">
        <v>48</v>
      </c>
      <c r="E37" s="20" t="s">
        <v>82</v>
      </c>
      <c r="F37" s="20" t="s">
        <v>98</v>
      </c>
      <c r="G37" s="20" t="s">
        <v>127</v>
      </c>
      <c r="H37" s="20" t="s">
        <v>141</v>
      </c>
      <c r="I37" s="14" t="s">
        <v>208</v>
      </c>
      <c r="J37" s="20" t="s">
        <v>173</v>
      </c>
      <c r="K37" s="45" t="s">
        <v>208</v>
      </c>
      <c r="L37" s="20">
        <v>1</v>
      </c>
      <c r="M37" s="14">
        <f t="shared" si="1"/>
        <v>10</v>
      </c>
      <c r="N37" s="20">
        <v>15</v>
      </c>
      <c r="O37" s="48" t="s">
        <v>248</v>
      </c>
      <c r="P37" s="21" t="s">
        <v>243</v>
      </c>
      <c r="Q37" s="21">
        <f t="shared" ref="Q37" si="16">P37*N37</f>
        <v>1.6305000000000001</v>
      </c>
      <c r="R37" s="20"/>
    </row>
    <row r="38" spans="1:18">
      <c r="A38" s="1"/>
      <c r="B38" s="16">
        <f>ROW(B38) - ROW($B$7)</f>
        <v>31</v>
      </c>
      <c r="C38" s="22" t="s">
        <v>16</v>
      </c>
      <c r="D38" s="14" t="s">
        <v>49</v>
      </c>
      <c r="E38" s="14" t="s">
        <v>83</v>
      </c>
      <c r="F38" s="14" t="s">
        <v>99</v>
      </c>
      <c r="G38" s="14" t="s">
        <v>128</v>
      </c>
      <c r="H38" s="14" t="s">
        <v>140</v>
      </c>
      <c r="I38" s="14" t="s">
        <v>208</v>
      </c>
      <c r="J38" s="14" t="s">
        <v>174</v>
      </c>
      <c r="K38" s="45" t="s">
        <v>208</v>
      </c>
      <c r="L38" s="14">
        <v>1</v>
      </c>
      <c r="M38" s="14">
        <f t="shared" si="1"/>
        <v>10</v>
      </c>
      <c r="N38" s="14">
        <v>11</v>
      </c>
      <c r="O38" s="48" t="s">
        <v>248</v>
      </c>
      <c r="P38" s="15" t="s">
        <v>244</v>
      </c>
      <c r="Q38" s="15">
        <f>P38*N38</f>
        <v>10.8405</v>
      </c>
      <c r="R38" s="14"/>
    </row>
    <row r="39" spans="1:18">
      <c r="A39" s="1"/>
      <c r="B39" s="17">
        <f t="shared" si="0"/>
        <v>32</v>
      </c>
      <c r="C39" s="23" t="s">
        <v>17</v>
      </c>
      <c r="D39" s="20" t="s">
        <v>50</v>
      </c>
      <c r="E39" s="20" t="s">
        <v>84</v>
      </c>
      <c r="F39" s="14" t="s">
        <v>210</v>
      </c>
      <c r="G39" s="20" t="s">
        <v>100</v>
      </c>
      <c r="H39" s="20" t="s">
        <v>142</v>
      </c>
      <c r="I39" s="14" t="s">
        <v>208</v>
      </c>
      <c r="J39" s="20" t="s">
        <v>175</v>
      </c>
      <c r="K39" s="45" t="s">
        <v>208</v>
      </c>
      <c r="L39" s="20">
        <v>1</v>
      </c>
      <c r="M39" s="14">
        <f t="shared" si="1"/>
        <v>10</v>
      </c>
      <c r="N39" s="20">
        <v>11</v>
      </c>
      <c r="O39" s="48" t="s">
        <v>248</v>
      </c>
      <c r="P39" s="21" t="s">
        <v>245</v>
      </c>
      <c r="Q39" s="21">
        <f t="shared" ref="Q39" si="17">P39*N39</f>
        <v>8.9573</v>
      </c>
      <c r="R39" s="20"/>
    </row>
    <row r="40" spans="1:18">
      <c r="A40" s="1"/>
      <c r="B40" s="16">
        <f>ROW(B40) - ROW($B$7)</f>
        <v>33</v>
      </c>
      <c r="C40" s="22" t="s">
        <v>16</v>
      </c>
      <c r="D40" s="14" t="s">
        <v>51</v>
      </c>
      <c r="E40" s="14" t="s">
        <v>83</v>
      </c>
      <c r="F40" s="14" t="s">
        <v>99</v>
      </c>
      <c r="G40" s="14" t="s">
        <v>129</v>
      </c>
      <c r="H40" s="14" t="s">
        <v>140</v>
      </c>
      <c r="I40" s="14" t="s">
        <v>208</v>
      </c>
      <c r="J40" s="14" t="s">
        <v>176</v>
      </c>
      <c r="K40" s="45" t="s">
        <v>208</v>
      </c>
      <c r="L40" s="14">
        <v>3</v>
      </c>
      <c r="M40" s="14">
        <f t="shared" si="1"/>
        <v>30</v>
      </c>
      <c r="N40" s="14">
        <v>31</v>
      </c>
      <c r="O40" s="48" t="s">
        <v>248</v>
      </c>
      <c r="P40" s="15" t="s">
        <v>246</v>
      </c>
      <c r="Q40" s="15">
        <f>P40*N40</f>
        <v>25.023199999999999</v>
      </c>
      <c r="R40" s="14"/>
    </row>
    <row r="41" spans="1:18" ht="115.5" thickBot="1">
      <c r="A41" s="1"/>
      <c r="B41" s="16">
        <f>ROW(B41) - ROW($B$7)</f>
        <v>34</v>
      </c>
      <c r="C41" s="22" t="s">
        <v>207</v>
      </c>
      <c r="D41" s="14" t="s">
        <v>208</v>
      </c>
      <c r="E41" s="45" t="s">
        <v>209</v>
      </c>
      <c r="F41" s="14" t="s">
        <v>210</v>
      </c>
      <c r="G41" s="45" t="s">
        <v>211</v>
      </c>
      <c r="H41" s="14" t="s">
        <v>212</v>
      </c>
      <c r="I41" s="14" t="s">
        <v>208</v>
      </c>
      <c r="J41" s="14" t="s">
        <v>214</v>
      </c>
      <c r="K41" s="45" t="s">
        <v>208</v>
      </c>
      <c r="L41" s="14">
        <v>1</v>
      </c>
      <c r="M41" s="14">
        <f t="shared" si="1"/>
        <v>10</v>
      </c>
      <c r="N41" s="14">
        <v>11</v>
      </c>
      <c r="O41" s="48" t="s">
        <v>248</v>
      </c>
      <c r="P41" s="15" t="s">
        <v>247</v>
      </c>
      <c r="Q41" s="15">
        <f>P41*N41</f>
        <v>3.0646</v>
      </c>
      <c r="R41" s="46" t="s">
        <v>213</v>
      </c>
    </row>
    <row r="42" spans="1:18" ht="19.5" thickBot="1">
      <c r="A42" s="1"/>
      <c r="B42" s="1"/>
      <c r="C42" s="1"/>
      <c r="D42" s="1"/>
      <c r="E42" s="1"/>
      <c r="F42" s="1"/>
      <c r="G42" s="1"/>
      <c r="H42" s="1"/>
      <c r="I42" s="1"/>
      <c r="J42" s="1"/>
      <c r="K42" s="1"/>
      <c r="L42" s="1"/>
      <c r="M42" s="1"/>
      <c r="N42" s="43" t="s">
        <v>3</v>
      </c>
      <c r="O42" s="44"/>
      <c r="P42" s="44"/>
      <c r="Q42" s="18">
        <f>SUM(Q8:Q41)</f>
        <v>131.98400000000001</v>
      </c>
      <c r="R42" s="1"/>
    </row>
    <row r="43" spans="1:18" ht="19.5" thickBot="1">
      <c r="A43" s="1"/>
      <c r="B43" s="1"/>
      <c r="C43" s="1"/>
      <c r="D43" s="1"/>
      <c r="E43" s="1"/>
      <c r="F43" s="1"/>
      <c r="G43" s="1"/>
      <c r="H43" s="1"/>
      <c r="I43" s="1"/>
      <c r="J43" s="1"/>
      <c r="K43" s="1"/>
      <c r="L43" s="1"/>
      <c r="M43" s="1"/>
      <c r="N43" s="43" t="s">
        <v>4</v>
      </c>
      <c r="O43" s="44"/>
      <c r="P43" s="44"/>
      <c r="Q43" s="19">
        <f>Q42/10</f>
        <v>13.198400000000001</v>
      </c>
      <c r="R43" s="1"/>
    </row>
    <row r="55" spans="13:13">
      <c r="M55" s="38"/>
    </row>
  </sheetData>
  <mergeCells count="3">
    <mergeCell ref="K1:R1"/>
    <mergeCell ref="N42:P42"/>
    <mergeCell ref="N43:P43"/>
  </mergeCells>
  <hyperlinks>
    <hyperlink ref="O8" r:id="rId1"/>
    <hyperlink ref="O9" r:id="rId2"/>
    <hyperlink ref="O10" r:id="rId3"/>
    <hyperlink ref="O11" r:id="rId4"/>
    <hyperlink ref="O12" r:id="rId5"/>
    <hyperlink ref="O13" r:id="rId6"/>
    <hyperlink ref="O14" r:id="rId7"/>
    <hyperlink ref="O15" r:id="rId8"/>
    <hyperlink ref="O16" r:id="rId9"/>
    <hyperlink ref="O17" r:id="rId10"/>
    <hyperlink ref="O18" r:id="rId11"/>
    <hyperlink ref="O19" r:id="rId12"/>
    <hyperlink ref="O20" r:id="rId13"/>
    <hyperlink ref="O21" r:id="rId14"/>
    <hyperlink ref="O22" r:id="rId15"/>
    <hyperlink ref="O23" r:id="rId16"/>
    <hyperlink ref="O24" r:id="rId17"/>
    <hyperlink ref="O25" r:id="rId18"/>
    <hyperlink ref="O26" r:id="rId19"/>
    <hyperlink ref="O27" r:id="rId20"/>
    <hyperlink ref="O28" r:id="rId21"/>
    <hyperlink ref="O29" r:id="rId22"/>
    <hyperlink ref="O30" r:id="rId23"/>
    <hyperlink ref="O31" r:id="rId24"/>
    <hyperlink ref="O32" r:id="rId25"/>
    <hyperlink ref="O33" r:id="rId26"/>
    <hyperlink ref="O34" r:id="rId27"/>
    <hyperlink ref="O35" r:id="rId28"/>
    <hyperlink ref="O36" r:id="rId29"/>
    <hyperlink ref="O37" r:id="rId30"/>
    <hyperlink ref="O38" r:id="rId31"/>
    <hyperlink ref="O39" r:id="rId32"/>
    <hyperlink ref="O40" r:id="rId33"/>
    <hyperlink ref="O41" r:id="rId34"/>
  </hyperlinks>
  <pageMargins left="0.7" right="0.7" top="0.75" bottom="0.75" header="0.3" footer="0.3"/>
  <pageSetup paperSize="9" orientation="portrait"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tabSelected="1" topLeftCell="E22" workbookViewId="0">
      <selection activeCell="Q23" sqref="Q23"/>
    </sheetView>
  </sheetViews>
  <sheetFormatPr defaultRowHeight="15"/>
  <cols>
    <col min="2" max="2" width="3" bestFit="1" customWidth="1"/>
    <col min="3" max="3" width="13.85546875" customWidth="1"/>
    <col min="4" max="4" width="31.140625" bestFit="1" customWidth="1"/>
    <col min="5" max="5" width="27.140625" customWidth="1"/>
    <col min="6" max="6" width="12" customWidth="1"/>
    <col min="7" max="7" width="25.28515625" bestFit="1" customWidth="1"/>
    <col min="8" max="8" width="13.28515625" bestFit="1" customWidth="1"/>
    <col min="9" max="9" width="21.5703125" bestFit="1" customWidth="1"/>
    <col min="10" max="10" width="17" bestFit="1" customWidth="1"/>
    <col min="11" max="11" width="6.140625" bestFit="1" customWidth="1"/>
    <col min="12" max="12" width="8.7109375" bestFit="1" customWidth="1"/>
    <col min="13" max="13" width="21.42578125" bestFit="1" customWidth="1"/>
    <col min="14" max="14" width="18.28515625" bestFit="1" customWidth="1"/>
    <col min="15" max="15" width="5.42578125" bestFit="1" customWidth="1"/>
    <col min="16" max="16" width="21.85546875" bestFit="1" customWidth="1"/>
    <col min="17" max="17" width="22.42578125" bestFit="1" customWidth="1"/>
    <col min="18" max="18" width="27.7109375" customWidth="1"/>
  </cols>
  <sheetData>
    <row r="1" spans="1:18" ht="15.75" thickBot="1">
      <c r="A1" s="1"/>
      <c r="B1" s="6"/>
      <c r="C1" s="6"/>
      <c r="D1" s="2"/>
      <c r="E1" s="2"/>
      <c r="F1" s="2"/>
      <c r="G1" s="2"/>
      <c r="H1" s="2"/>
      <c r="I1" s="2"/>
      <c r="J1" s="2"/>
      <c r="K1" s="42"/>
      <c r="L1" s="42"/>
      <c r="M1" s="42"/>
      <c r="N1" s="42"/>
      <c r="O1" s="42"/>
      <c r="P1" s="42"/>
      <c r="Q1" s="42"/>
      <c r="R1" s="42"/>
    </row>
    <row r="2" spans="1:18" ht="32.25" thickBot="1">
      <c r="A2" s="1"/>
      <c r="B2" s="7"/>
      <c r="C2" s="13"/>
      <c r="D2" s="4" t="s">
        <v>0</v>
      </c>
      <c r="E2" s="4"/>
      <c r="F2" s="40" t="s">
        <v>197</v>
      </c>
      <c r="G2" s="5"/>
      <c r="H2" s="3"/>
      <c r="I2" s="31"/>
      <c r="J2" s="32"/>
      <c r="K2" s="32"/>
      <c r="L2" s="32"/>
      <c r="M2" s="32"/>
      <c r="N2" s="32"/>
      <c r="O2" s="32"/>
      <c r="P2" s="32"/>
      <c r="Q2" s="32"/>
      <c r="R2" s="32"/>
    </row>
    <row r="3" spans="1:18" ht="16.5" thickBot="1">
      <c r="A3" s="1"/>
      <c r="B3" s="8"/>
      <c r="C3" s="26"/>
      <c r="D3" s="39" t="s">
        <v>1</v>
      </c>
      <c r="E3" s="27"/>
      <c r="F3" s="41" t="s">
        <v>198</v>
      </c>
      <c r="G3" s="29"/>
      <c r="H3" s="30"/>
      <c r="I3" s="28"/>
      <c r="J3" s="24"/>
      <c r="K3" s="24"/>
      <c r="L3" s="24"/>
      <c r="M3" s="24"/>
      <c r="N3" s="24"/>
      <c r="O3" s="24"/>
      <c r="P3" s="24"/>
      <c r="Q3" s="24"/>
      <c r="R3" s="24"/>
    </row>
    <row r="4" spans="1:18">
      <c r="A4" s="1"/>
      <c r="B4" s="8"/>
      <c r="C4" s="26"/>
      <c r="D4" s="27"/>
      <c r="E4" s="27"/>
      <c r="F4" s="25"/>
      <c r="G4" s="28"/>
      <c r="H4" s="24"/>
      <c r="I4" s="28"/>
      <c r="J4" s="24"/>
      <c r="K4" s="24"/>
      <c r="L4" s="24"/>
      <c r="M4" s="24"/>
      <c r="N4" s="24"/>
      <c r="O4" s="24"/>
      <c r="P4" s="24"/>
      <c r="Q4" s="24"/>
      <c r="R4" s="24"/>
    </row>
    <row r="5" spans="1:18">
      <c r="A5" s="1"/>
      <c r="B5" s="9"/>
      <c r="C5" s="33"/>
      <c r="D5" s="34"/>
      <c r="E5" s="34"/>
      <c r="F5" s="25"/>
      <c r="G5" s="34"/>
      <c r="H5" s="35"/>
      <c r="I5" s="34"/>
      <c r="J5" s="35"/>
      <c r="K5" s="35"/>
      <c r="L5" s="35"/>
      <c r="M5" s="35"/>
      <c r="N5" s="35"/>
      <c r="O5" s="35"/>
      <c r="P5" s="35"/>
      <c r="Q5" s="35"/>
      <c r="R5" s="35"/>
    </row>
    <row r="6" spans="1:18" ht="15.75" thickBot="1">
      <c r="A6" s="1"/>
      <c r="B6" s="11"/>
      <c r="C6" s="36"/>
      <c r="D6" s="28"/>
      <c r="E6" s="28"/>
      <c r="F6" s="37"/>
      <c r="G6" s="34"/>
      <c r="H6" s="35"/>
      <c r="I6" s="34"/>
      <c r="J6" s="35"/>
      <c r="K6" s="35"/>
      <c r="L6" s="35"/>
      <c r="M6" s="35"/>
      <c r="N6" s="35"/>
      <c r="O6" s="35"/>
      <c r="P6" s="35"/>
      <c r="Q6" s="35"/>
      <c r="R6" s="35"/>
    </row>
    <row r="7" spans="1:18" ht="15.75" thickBot="1">
      <c r="A7" s="1"/>
      <c r="B7" s="12" t="s">
        <v>2</v>
      </c>
      <c r="C7" s="12" t="s">
        <v>5</v>
      </c>
      <c r="D7" s="12" t="s">
        <v>18</v>
      </c>
      <c r="E7" s="12" t="s">
        <v>52</v>
      </c>
      <c r="F7" s="12" t="s">
        <v>85</v>
      </c>
      <c r="G7" s="12" t="s">
        <v>101</v>
      </c>
      <c r="H7" s="12" t="s">
        <v>130</v>
      </c>
      <c r="I7" s="12" t="s">
        <v>199</v>
      </c>
      <c r="J7" s="12" t="s">
        <v>143</v>
      </c>
      <c r="K7" s="12" t="s">
        <v>200</v>
      </c>
      <c r="L7" s="12" t="s">
        <v>196</v>
      </c>
      <c r="M7" s="12" t="s">
        <v>249</v>
      </c>
      <c r="N7" s="12" t="s">
        <v>250</v>
      </c>
      <c r="O7" s="12" t="s">
        <v>203</v>
      </c>
      <c r="P7" s="12" t="s">
        <v>251</v>
      </c>
      <c r="Q7" s="12" t="s">
        <v>252</v>
      </c>
      <c r="R7" s="12" t="s">
        <v>206</v>
      </c>
    </row>
    <row r="8" spans="1:18" s="50" customFormat="1" ht="24">
      <c r="A8" s="49"/>
      <c r="B8" s="16">
        <f>ROW(B8) - ROW($B$7)</f>
        <v>1</v>
      </c>
      <c r="C8" s="22" t="s">
        <v>6</v>
      </c>
      <c r="D8" s="14" t="s">
        <v>19</v>
      </c>
      <c r="E8" s="14" t="s">
        <v>53</v>
      </c>
      <c r="F8" s="14" t="s">
        <v>86</v>
      </c>
      <c r="G8" s="14" t="s">
        <v>102</v>
      </c>
      <c r="H8" s="14" t="s">
        <v>131</v>
      </c>
      <c r="I8" s="14" t="s">
        <v>208</v>
      </c>
      <c r="J8" s="14" t="s">
        <v>144</v>
      </c>
      <c r="K8" s="14" t="s">
        <v>177</v>
      </c>
      <c r="L8" s="14">
        <v>10</v>
      </c>
      <c r="M8" s="14">
        <f>L8*1000</f>
        <v>10000</v>
      </c>
      <c r="N8" s="14">
        <v>10010</v>
      </c>
      <c r="O8" s="48" t="s">
        <v>248</v>
      </c>
      <c r="P8" s="15" t="s">
        <v>253</v>
      </c>
      <c r="Q8" s="15">
        <f>P8*N8</f>
        <v>326.32599999999996</v>
      </c>
      <c r="R8" s="14"/>
    </row>
    <row r="9" spans="1:18" s="50" customFormat="1" ht="36">
      <c r="A9" s="49"/>
      <c r="B9" s="17">
        <f t="shared" ref="B9:B39" si="0">ROW(B9) - ROW($B$7)</f>
        <v>2</v>
      </c>
      <c r="C9" s="23" t="s">
        <v>7</v>
      </c>
      <c r="D9" s="20" t="s">
        <v>20</v>
      </c>
      <c r="E9" s="20" t="s">
        <v>54</v>
      </c>
      <c r="F9" s="20" t="s">
        <v>86</v>
      </c>
      <c r="G9" s="20" t="s">
        <v>103</v>
      </c>
      <c r="H9" s="20" t="s">
        <v>131</v>
      </c>
      <c r="I9" s="14" t="s">
        <v>208</v>
      </c>
      <c r="J9" s="20" t="s">
        <v>145</v>
      </c>
      <c r="K9" s="20" t="s">
        <v>178</v>
      </c>
      <c r="L9" s="20">
        <v>21</v>
      </c>
      <c r="M9" s="14">
        <f t="shared" ref="M9:M41" si="1">L9*1000</f>
        <v>21000</v>
      </c>
      <c r="N9" s="20">
        <v>21020</v>
      </c>
      <c r="O9" s="48" t="s">
        <v>248</v>
      </c>
      <c r="P9" s="21" t="s">
        <v>254</v>
      </c>
      <c r="Q9" s="21">
        <f t="shared" ref="Q9" si="2">P9*N9</f>
        <v>302.68799999999999</v>
      </c>
      <c r="R9" s="20"/>
    </row>
    <row r="10" spans="1:18" s="50" customFormat="1">
      <c r="A10" s="49"/>
      <c r="B10" s="16">
        <f>ROW(B10) - ROW($B$7)</f>
        <v>3</v>
      </c>
      <c r="C10" s="22" t="s">
        <v>7</v>
      </c>
      <c r="D10" s="14" t="s">
        <v>21</v>
      </c>
      <c r="E10" s="14" t="s">
        <v>55</v>
      </c>
      <c r="F10" s="14" t="s">
        <v>86</v>
      </c>
      <c r="G10" s="14" t="s">
        <v>104</v>
      </c>
      <c r="H10" s="14" t="s">
        <v>132</v>
      </c>
      <c r="I10" s="14" t="s">
        <v>208</v>
      </c>
      <c r="J10" s="14" t="s">
        <v>146</v>
      </c>
      <c r="K10" s="14" t="s">
        <v>179</v>
      </c>
      <c r="L10" s="14">
        <v>1</v>
      </c>
      <c r="M10" s="14">
        <f t="shared" si="1"/>
        <v>1000</v>
      </c>
      <c r="N10" s="14">
        <v>1020</v>
      </c>
      <c r="O10" s="48" t="s">
        <v>248</v>
      </c>
      <c r="P10" s="15" t="s">
        <v>255</v>
      </c>
      <c r="Q10" s="15">
        <f>P10*N10</f>
        <v>16.931999999999999</v>
      </c>
      <c r="R10" s="14"/>
    </row>
    <row r="11" spans="1:18" s="50" customFormat="1">
      <c r="A11" s="49"/>
      <c r="B11" s="17">
        <f t="shared" si="0"/>
        <v>4</v>
      </c>
      <c r="C11" s="23" t="s">
        <v>7</v>
      </c>
      <c r="D11" s="20" t="s">
        <v>22</v>
      </c>
      <c r="E11" s="20" t="s">
        <v>56</v>
      </c>
      <c r="F11" s="20" t="s">
        <v>87</v>
      </c>
      <c r="G11" s="20" t="s">
        <v>105</v>
      </c>
      <c r="H11" s="20" t="s">
        <v>131</v>
      </c>
      <c r="I11" s="14" t="s">
        <v>208</v>
      </c>
      <c r="J11" s="20" t="s">
        <v>147</v>
      </c>
      <c r="K11" s="20" t="s">
        <v>177</v>
      </c>
      <c r="L11" s="20">
        <v>2</v>
      </c>
      <c r="M11" s="14">
        <f t="shared" si="1"/>
        <v>2000</v>
      </c>
      <c r="N11" s="20">
        <v>2005</v>
      </c>
      <c r="O11" s="48" t="s">
        <v>248</v>
      </c>
      <c r="P11" s="21" t="s">
        <v>256</v>
      </c>
      <c r="Q11" s="21">
        <f t="shared" ref="Q11" si="3">P11*N11</f>
        <v>220.95100000000002</v>
      </c>
      <c r="R11" s="20"/>
    </row>
    <row r="12" spans="1:18" s="50" customFormat="1">
      <c r="A12" s="49"/>
      <c r="B12" s="16">
        <f>ROW(B12) - ROW($B$7)</f>
        <v>5</v>
      </c>
      <c r="C12" s="22" t="s">
        <v>6</v>
      </c>
      <c r="D12" s="14" t="s">
        <v>23</v>
      </c>
      <c r="E12" s="14" t="s">
        <v>57</v>
      </c>
      <c r="F12" s="14" t="s">
        <v>88</v>
      </c>
      <c r="G12" s="14" t="s">
        <v>106</v>
      </c>
      <c r="H12" s="14" t="s">
        <v>131</v>
      </c>
      <c r="I12" s="14" t="s">
        <v>208</v>
      </c>
      <c r="J12" s="14" t="s">
        <v>148</v>
      </c>
      <c r="K12" s="14" t="s">
        <v>180</v>
      </c>
      <c r="L12" s="14">
        <v>2</v>
      </c>
      <c r="M12" s="14">
        <f t="shared" si="1"/>
        <v>2000</v>
      </c>
      <c r="N12" s="14">
        <v>2005</v>
      </c>
      <c r="O12" s="48" t="s">
        <v>248</v>
      </c>
      <c r="P12" s="15" t="s">
        <v>257</v>
      </c>
      <c r="Q12" s="15">
        <f>P12*N12</f>
        <v>113.2825</v>
      </c>
      <c r="R12" s="14"/>
    </row>
    <row r="13" spans="1:18" s="50" customFormat="1">
      <c r="A13" s="49"/>
      <c r="B13" s="17">
        <f t="shared" si="0"/>
        <v>6</v>
      </c>
      <c r="C13" s="23" t="s">
        <v>7</v>
      </c>
      <c r="D13" s="20" t="s">
        <v>24</v>
      </c>
      <c r="E13" s="20" t="s">
        <v>58</v>
      </c>
      <c r="F13" s="20" t="s">
        <v>86</v>
      </c>
      <c r="G13" s="20" t="s">
        <v>107</v>
      </c>
      <c r="H13" s="20" t="s">
        <v>131</v>
      </c>
      <c r="I13" s="14" t="s">
        <v>208</v>
      </c>
      <c r="J13" s="20" t="s">
        <v>149</v>
      </c>
      <c r="K13" s="20" t="s">
        <v>181</v>
      </c>
      <c r="L13" s="20">
        <v>1</v>
      </c>
      <c r="M13" s="14">
        <f t="shared" si="1"/>
        <v>1000</v>
      </c>
      <c r="N13" s="20">
        <v>1010</v>
      </c>
      <c r="O13" s="48" t="s">
        <v>248</v>
      </c>
      <c r="P13" s="21" t="s">
        <v>258</v>
      </c>
      <c r="Q13" s="21">
        <f t="shared" ref="Q13" si="4">P13*N13</f>
        <v>29.290000000000003</v>
      </c>
      <c r="R13" s="20"/>
    </row>
    <row r="14" spans="1:18" s="50" customFormat="1">
      <c r="A14" s="49"/>
      <c r="B14" s="16">
        <f>ROW(B14) - ROW($B$7)</f>
        <v>7</v>
      </c>
      <c r="C14" s="22" t="s">
        <v>7</v>
      </c>
      <c r="D14" s="14" t="s">
        <v>25</v>
      </c>
      <c r="E14" s="14" t="s">
        <v>59</v>
      </c>
      <c r="F14" s="14" t="s">
        <v>87</v>
      </c>
      <c r="G14" s="14" t="s">
        <v>108</v>
      </c>
      <c r="H14" s="14" t="s">
        <v>132</v>
      </c>
      <c r="I14" s="14" t="s">
        <v>208</v>
      </c>
      <c r="J14" s="14" t="s">
        <v>150</v>
      </c>
      <c r="K14" s="14" t="s">
        <v>182</v>
      </c>
      <c r="L14" s="14">
        <v>1</v>
      </c>
      <c r="M14" s="14">
        <f t="shared" si="1"/>
        <v>1000</v>
      </c>
      <c r="N14" s="14">
        <v>1005</v>
      </c>
      <c r="O14" s="48" t="s">
        <v>248</v>
      </c>
      <c r="P14" s="15" t="s">
        <v>259</v>
      </c>
      <c r="Q14" s="15">
        <f>P14*N14</f>
        <v>165.02100000000002</v>
      </c>
      <c r="R14" s="14"/>
    </row>
    <row r="15" spans="1:18" s="50" customFormat="1">
      <c r="A15" s="49"/>
      <c r="B15" s="17">
        <f t="shared" si="0"/>
        <v>8</v>
      </c>
      <c r="C15" s="23" t="s">
        <v>7</v>
      </c>
      <c r="D15" s="20" t="s">
        <v>26</v>
      </c>
      <c r="E15" s="20" t="s">
        <v>60</v>
      </c>
      <c r="F15" s="20" t="s">
        <v>86</v>
      </c>
      <c r="G15" s="20" t="s">
        <v>109</v>
      </c>
      <c r="H15" s="20" t="s">
        <v>131</v>
      </c>
      <c r="I15" s="14" t="s">
        <v>208</v>
      </c>
      <c r="J15" s="20" t="s">
        <v>151</v>
      </c>
      <c r="K15" s="20" t="s">
        <v>183</v>
      </c>
      <c r="L15" s="20">
        <v>1</v>
      </c>
      <c r="M15" s="14">
        <f t="shared" si="1"/>
        <v>1000</v>
      </c>
      <c r="N15" s="20">
        <v>1010</v>
      </c>
      <c r="O15" s="48" t="s">
        <v>248</v>
      </c>
      <c r="P15" s="21" t="s">
        <v>260</v>
      </c>
      <c r="Q15" s="21">
        <f t="shared" ref="Q15" si="5">P15*N15</f>
        <v>26.562999999999999</v>
      </c>
      <c r="R15" s="20"/>
    </row>
    <row r="16" spans="1:18" s="50" customFormat="1" ht="60">
      <c r="A16" s="49"/>
      <c r="B16" s="16">
        <f>ROW(B16) - ROW($B$7)</f>
        <v>9</v>
      </c>
      <c r="C16" s="22" t="s">
        <v>8</v>
      </c>
      <c r="D16" s="14" t="s">
        <v>27</v>
      </c>
      <c r="E16" s="14" t="s">
        <v>61</v>
      </c>
      <c r="F16" s="14" t="s">
        <v>210</v>
      </c>
      <c r="G16" s="14" t="s">
        <v>89</v>
      </c>
      <c r="H16" s="14" t="s">
        <v>133</v>
      </c>
      <c r="I16" s="14" t="s">
        <v>208</v>
      </c>
      <c r="J16" s="14" t="s">
        <v>152</v>
      </c>
      <c r="K16" s="45" t="s">
        <v>208</v>
      </c>
      <c r="L16" s="14">
        <v>1</v>
      </c>
      <c r="M16" s="14">
        <f t="shared" si="1"/>
        <v>1000</v>
      </c>
      <c r="N16" s="14">
        <v>1005</v>
      </c>
      <c r="O16" s="48" t="s">
        <v>248</v>
      </c>
      <c r="P16" s="15" t="s">
        <v>261</v>
      </c>
      <c r="Q16" s="15">
        <f>P16*N16</f>
        <v>59.797499999999999</v>
      </c>
      <c r="R16" s="14"/>
    </row>
    <row r="17" spans="1:18" s="50" customFormat="1" ht="60">
      <c r="A17" s="49"/>
      <c r="B17" s="17">
        <f t="shared" si="0"/>
        <v>10</v>
      </c>
      <c r="C17" s="23" t="s">
        <v>9</v>
      </c>
      <c r="D17" s="20" t="s">
        <v>28</v>
      </c>
      <c r="E17" s="20" t="s">
        <v>62</v>
      </c>
      <c r="F17" s="20" t="s">
        <v>90</v>
      </c>
      <c r="G17" s="20" t="s">
        <v>110</v>
      </c>
      <c r="H17" s="20" t="s">
        <v>133</v>
      </c>
      <c r="I17" s="14" t="s">
        <v>208</v>
      </c>
      <c r="J17" s="20" t="s">
        <v>153</v>
      </c>
      <c r="K17" s="45" t="s">
        <v>208</v>
      </c>
      <c r="L17" s="20">
        <v>1</v>
      </c>
      <c r="M17" s="14">
        <f t="shared" si="1"/>
        <v>1000</v>
      </c>
      <c r="N17" s="20">
        <v>1005</v>
      </c>
      <c r="O17" s="48" t="s">
        <v>248</v>
      </c>
      <c r="P17" s="21" t="s">
        <v>262</v>
      </c>
      <c r="Q17" s="21">
        <f t="shared" ref="Q17" si="6">P17*N17</f>
        <v>73.264500000000012</v>
      </c>
      <c r="R17" s="20"/>
    </row>
    <row r="18" spans="1:18" s="50" customFormat="1" ht="25.5">
      <c r="A18" s="49"/>
      <c r="B18" s="16">
        <f>ROW(B18) - ROW($B$7)</f>
        <v>11</v>
      </c>
      <c r="C18" s="22" t="s">
        <v>10</v>
      </c>
      <c r="D18" s="14" t="s">
        <v>29</v>
      </c>
      <c r="E18" s="14" t="s">
        <v>63</v>
      </c>
      <c r="F18" s="14" t="s">
        <v>210</v>
      </c>
      <c r="G18" s="14" t="s">
        <v>91</v>
      </c>
      <c r="H18" s="14" t="s">
        <v>134</v>
      </c>
      <c r="I18" s="14" t="s">
        <v>208</v>
      </c>
      <c r="J18" s="14" t="s">
        <v>154</v>
      </c>
      <c r="K18" s="45" t="s">
        <v>208</v>
      </c>
      <c r="L18" s="14">
        <v>1</v>
      </c>
      <c r="M18" s="14">
        <f t="shared" si="1"/>
        <v>1000</v>
      </c>
      <c r="N18" s="14">
        <v>1005</v>
      </c>
      <c r="O18" s="48" t="s">
        <v>248</v>
      </c>
      <c r="P18" s="15" t="s">
        <v>263</v>
      </c>
      <c r="Q18" s="15">
        <f>P18*N18</f>
        <v>57.1845</v>
      </c>
      <c r="R18" s="14"/>
    </row>
    <row r="19" spans="1:18" s="50" customFormat="1" ht="48">
      <c r="A19" s="49"/>
      <c r="B19" s="17">
        <f t="shared" si="0"/>
        <v>12</v>
      </c>
      <c r="C19" s="23" t="s">
        <v>10</v>
      </c>
      <c r="D19" s="20" t="s">
        <v>30</v>
      </c>
      <c r="E19" s="20" t="s">
        <v>64</v>
      </c>
      <c r="F19" s="14" t="s">
        <v>210</v>
      </c>
      <c r="G19" s="20" t="s">
        <v>92</v>
      </c>
      <c r="H19" s="20" t="s">
        <v>135</v>
      </c>
      <c r="I19" s="14" t="s">
        <v>208</v>
      </c>
      <c r="J19" s="20" t="s">
        <v>155</v>
      </c>
      <c r="K19" s="45" t="s">
        <v>208</v>
      </c>
      <c r="L19" s="20">
        <v>5</v>
      </c>
      <c r="M19" s="14">
        <f t="shared" si="1"/>
        <v>5000</v>
      </c>
      <c r="N19" s="20">
        <v>5005</v>
      </c>
      <c r="O19" s="48" t="s">
        <v>248</v>
      </c>
      <c r="P19" s="21" t="s">
        <v>264</v>
      </c>
      <c r="Q19" s="21">
        <f t="shared" ref="Q19" si="7">P19*N19</f>
        <v>752.25149999999996</v>
      </c>
      <c r="R19" s="20"/>
    </row>
    <row r="20" spans="1:18" s="50" customFormat="1" ht="24">
      <c r="A20" s="49"/>
      <c r="B20" s="16">
        <f>ROW(B20) - ROW($B$7)</f>
        <v>13</v>
      </c>
      <c r="C20" s="22" t="s">
        <v>11</v>
      </c>
      <c r="D20" s="14" t="s">
        <v>31</v>
      </c>
      <c r="E20" s="14" t="s">
        <v>65</v>
      </c>
      <c r="F20" s="14" t="s">
        <v>210</v>
      </c>
      <c r="G20" s="14" t="s">
        <v>111</v>
      </c>
      <c r="H20" s="14" t="s">
        <v>136</v>
      </c>
      <c r="I20" s="14" t="s">
        <v>208</v>
      </c>
      <c r="J20" s="14" t="s">
        <v>156</v>
      </c>
      <c r="K20" s="14" t="s">
        <v>184</v>
      </c>
      <c r="L20" s="14">
        <v>1</v>
      </c>
      <c r="M20" s="14">
        <f t="shared" si="1"/>
        <v>1000</v>
      </c>
      <c r="N20" s="14">
        <v>1002</v>
      </c>
      <c r="O20" s="48" t="s">
        <v>248</v>
      </c>
      <c r="P20" s="15" t="s">
        <v>265</v>
      </c>
      <c r="Q20" s="15">
        <f>P20*N20</f>
        <v>343.98660000000001</v>
      </c>
      <c r="R20" s="14"/>
    </row>
    <row r="21" spans="1:18" s="50" customFormat="1" ht="48">
      <c r="A21" s="49"/>
      <c r="B21" s="17">
        <f t="shared" si="0"/>
        <v>14</v>
      </c>
      <c r="C21" s="23" t="s">
        <v>12</v>
      </c>
      <c r="D21" s="20" t="s">
        <v>32</v>
      </c>
      <c r="E21" s="20" t="s">
        <v>66</v>
      </c>
      <c r="F21" s="20" t="s">
        <v>93</v>
      </c>
      <c r="G21" s="20" t="s">
        <v>112</v>
      </c>
      <c r="H21" s="20" t="s">
        <v>137</v>
      </c>
      <c r="I21" s="14" t="s">
        <v>208</v>
      </c>
      <c r="J21" s="20" t="s">
        <v>157</v>
      </c>
      <c r="K21" s="47" t="s">
        <v>208</v>
      </c>
      <c r="L21" s="20">
        <v>4</v>
      </c>
      <c r="M21" s="14">
        <f t="shared" si="1"/>
        <v>4000</v>
      </c>
      <c r="N21" s="20">
        <v>4020</v>
      </c>
      <c r="O21" s="48" t="s">
        <v>248</v>
      </c>
      <c r="P21" s="21" t="s">
        <v>266</v>
      </c>
      <c r="Q21" s="21">
        <f t="shared" ref="Q21" si="8">P21*N21</f>
        <v>73.566000000000003</v>
      </c>
      <c r="R21" s="20"/>
    </row>
    <row r="22" spans="1:18" s="50" customFormat="1" ht="48">
      <c r="A22" s="49"/>
      <c r="B22" s="16">
        <f>ROW(B22) - ROW($B$7)</f>
        <v>15</v>
      </c>
      <c r="C22" s="22" t="s">
        <v>12</v>
      </c>
      <c r="D22" s="14" t="s">
        <v>33</v>
      </c>
      <c r="E22" s="14" t="s">
        <v>67</v>
      </c>
      <c r="F22" s="14" t="s">
        <v>93</v>
      </c>
      <c r="G22" s="14" t="s">
        <v>113</v>
      </c>
      <c r="H22" s="14" t="s">
        <v>137</v>
      </c>
      <c r="I22" s="14" t="s">
        <v>208</v>
      </c>
      <c r="J22" s="14" t="s">
        <v>158</v>
      </c>
      <c r="K22" s="47" t="s">
        <v>208</v>
      </c>
      <c r="L22" s="14">
        <v>1</v>
      </c>
      <c r="M22" s="14">
        <f t="shared" si="1"/>
        <v>1000</v>
      </c>
      <c r="N22" s="14">
        <v>1020</v>
      </c>
      <c r="O22" s="48" t="s">
        <v>248</v>
      </c>
      <c r="P22" s="15" t="s">
        <v>267</v>
      </c>
      <c r="Q22" s="15">
        <f>P22*N22</f>
        <v>18.155999999999999</v>
      </c>
      <c r="R22" s="14"/>
    </row>
    <row r="23" spans="1:18" s="50" customFormat="1">
      <c r="A23" s="49"/>
      <c r="B23" s="17">
        <f t="shared" si="0"/>
        <v>16</v>
      </c>
      <c r="C23" s="23" t="s">
        <v>13</v>
      </c>
      <c r="D23" s="20" t="s">
        <v>34</v>
      </c>
      <c r="E23" s="20" t="s">
        <v>68</v>
      </c>
      <c r="F23" s="20" t="s">
        <v>94</v>
      </c>
      <c r="G23" s="20" t="s">
        <v>114</v>
      </c>
      <c r="H23" s="20" t="s">
        <v>132</v>
      </c>
      <c r="I23" s="14" t="s">
        <v>208</v>
      </c>
      <c r="J23" s="20" t="s">
        <v>159</v>
      </c>
      <c r="K23" s="20" t="s">
        <v>185</v>
      </c>
      <c r="L23" s="20">
        <v>1</v>
      </c>
      <c r="M23" s="14">
        <f t="shared" si="1"/>
        <v>1000</v>
      </c>
      <c r="N23" s="20">
        <v>1100</v>
      </c>
      <c r="O23" s="48" t="s">
        <v>248</v>
      </c>
      <c r="P23" s="21" t="s">
        <v>239</v>
      </c>
      <c r="Q23" s="21">
        <f t="shared" ref="Q23" si="9">P23*N23</f>
        <v>0.88</v>
      </c>
      <c r="R23" s="20"/>
    </row>
    <row r="24" spans="1:18" s="50" customFormat="1">
      <c r="A24" s="49"/>
      <c r="B24" s="16">
        <f>ROW(B24) - ROW($B$7)</f>
        <v>17</v>
      </c>
      <c r="C24" s="22" t="s">
        <v>13</v>
      </c>
      <c r="D24" s="14" t="s">
        <v>35</v>
      </c>
      <c r="E24" s="14" t="s">
        <v>69</v>
      </c>
      <c r="F24" s="14" t="s">
        <v>94</v>
      </c>
      <c r="G24" s="14" t="s">
        <v>115</v>
      </c>
      <c r="H24" s="14" t="s">
        <v>132</v>
      </c>
      <c r="I24" s="14" t="s">
        <v>208</v>
      </c>
      <c r="J24" s="14" t="s">
        <v>160</v>
      </c>
      <c r="K24" s="14" t="s">
        <v>186</v>
      </c>
      <c r="L24" s="14">
        <v>3</v>
      </c>
      <c r="M24" s="14">
        <f t="shared" si="1"/>
        <v>3000</v>
      </c>
      <c r="N24" s="14">
        <v>3100</v>
      </c>
      <c r="O24" s="48" t="s">
        <v>248</v>
      </c>
      <c r="P24" s="15" t="s">
        <v>239</v>
      </c>
      <c r="Q24" s="15">
        <f>P24*N24</f>
        <v>2.48</v>
      </c>
      <c r="R24" s="14"/>
    </row>
    <row r="25" spans="1:18" s="50" customFormat="1" ht="24">
      <c r="A25" s="49"/>
      <c r="B25" s="17">
        <f t="shared" si="0"/>
        <v>18</v>
      </c>
      <c r="C25" s="23" t="s">
        <v>13</v>
      </c>
      <c r="D25" s="20" t="s">
        <v>36</v>
      </c>
      <c r="E25" s="20" t="s">
        <v>70</v>
      </c>
      <c r="F25" s="20" t="s">
        <v>94</v>
      </c>
      <c r="G25" s="20" t="s">
        <v>116</v>
      </c>
      <c r="H25" s="20" t="s">
        <v>132</v>
      </c>
      <c r="I25" s="14" t="s">
        <v>208</v>
      </c>
      <c r="J25" s="20" t="s">
        <v>161</v>
      </c>
      <c r="K25" s="20" t="s">
        <v>187</v>
      </c>
      <c r="L25" s="20">
        <v>7</v>
      </c>
      <c r="M25" s="14">
        <f t="shared" si="1"/>
        <v>7000</v>
      </c>
      <c r="N25" s="20">
        <v>7100</v>
      </c>
      <c r="O25" s="48" t="s">
        <v>248</v>
      </c>
      <c r="P25" s="21" t="s">
        <v>268</v>
      </c>
      <c r="Q25" s="21">
        <f t="shared" ref="Q25" si="10">P25*N25</f>
        <v>4.97</v>
      </c>
      <c r="R25" s="20"/>
    </row>
    <row r="26" spans="1:18" s="50" customFormat="1">
      <c r="A26" s="49"/>
      <c r="B26" s="16">
        <f>ROW(B26) - ROW($B$7)</f>
        <v>19</v>
      </c>
      <c r="C26" s="22" t="s">
        <v>13</v>
      </c>
      <c r="D26" s="14" t="s">
        <v>37</v>
      </c>
      <c r="E26" s="14" t="s">
        <v>71</v>
      </c>
      <c r="F26" s="14" t="s">
        <v>94</v>
      </c>
      <c r="G26" s="14" t="s">
        <v>117</v>
      </c>
      <c r="H26" s="14" t="s">
        <v>132</v>
      </c>
      <c r="I26" s="14" t="s">
        <v>208</v>
      </c>
      <c r="J26" s="14" t="s">
        <v>162</v>
      </c>
      <c r="K26" s="14" t="s">
        <v>188</v>
      </c>
      <c r="L26" s="14">
        <v>5</v>
      </c>
      <c r="M26" s="14">
        <f t="shared" si="1"/>
        <v>5000</v>
      </c>
      <c r="N26" s="14">
        <v>5100</v>
      </c>
      <c r="O26" s="48" t="s">
        <v>248</v>
      </c>
      <c r="P26" s="15" t="s">
        <v>239</v>
      </c>
      <c r="Q26" s="15">
        <f>P26*N26</f>
        <v>4.08</v>
      </c>
      <c r="R26" s="14"/>
    </row>
    <row r="27" spans="1:18" s="50" customFormat="1">
      <c r="A27" s="49"/>
      <c r="B27" s="17">
        <f t="shared" si="0"/>
        <v>20</v>
      </c>
      <c r="C27" s="23" t="s">
        <v>13</v>
      </c>
      <c r="D27" s="20" t="s">
        <v>38</v>
      </c>
      <c r="E27" s="20" t="s">
        <v>72</v>
      </c>
      <c r="F27" s="20" t="s">
        <v>94</v>
      </c>
      <c r="G27" s="20" t="s">
        <v>118</v>
      </c>
      <c r="H27" s="20" t="s">
        <v>132</v>
      </c>
      <c r="I27" s="14" t="s">
        <v>208</v>
      </c>
      <c r="J27" s="20" t="s">
        <v>163</v>
      </c>
      <c r="K27" s="20" t="s">
        <v>189</v>
      </c>
      <c r="L27" s="20">
        <v>3</v>
      </c>
      <c r="M27" s="14">
        <f t="shared" si="1"/>
        <v>3000</v>
      </c>
      <c r="N27" s="20">
        <v>3100</v>
      </c>
      <c r="O27" s="48" t="s">
        <v>248</v>
      </c>
      <c r="P27" s="21" t="s">
        <v>239</v>
      </c>
      <c r="Q27" s="21">
        <f t="shared" ref="Q27" si="11">P27*N27</f>
        <v>2.48</v>
      </c>
      <c r="R27" s="20"/>
    </row>
    <row r="28" spans="1:18" s="50" customFormat="1" ht="24">
      <c r="A28" s="49"/>
      <c r="B28" s="16">
        <f>ROW(B28) - ROW($B$7)</f>
        <v>21</v>
      </c>
      <c r="C28" s="22" t="s">
        <v>14</v>
      </c>
      <c r="D28" s="14" t="s">
        <v>39</v>
      </c>
      <c r="E28" s="14" t="s">
        <v>73</v>
      </c>
      <c r="F28" s="14" t="s">
        <v>94</v>
      </c>
      <c r="G28" s="14" t="s">
        <v>119</v>
      </c>
      <c r="H28" s="14" t="s">
        <v>132</v>
      </c>
      <c r="I28" s="14" t="s">
        <v>208</v>
      </c>
      <c r="J28" s="14" t="s">
        <v>164</v>
      </c>
      <c r="K28" s="14" t="s">
        <v>190</v>
      </c>
      <c r="L28" s="14">
        <v>1</v>
      </c>
      <c r="M28" s="14">
        <f t="shared" si="1"/>
        <v>1000</v>
      </c>
      <c r="N28" s="14">
        <v>1020</v>
      </c>
      <c r="O28" s="48" t="s">
        <v>248</v>
      </c>
      <c r="P28" s="15" t="s">
        <v>269</v>
      </c>
      <c r="Q28" s="15">
        <f>P28*N28</f>
        <v>17.34</v>
      </c>
      <c r="R28" s="14"/>
    </row>
    <row r="29" spans="1:18" s="50" customFormat="1">
      <c r="A29" s="49"/>
      <c r="B29" s="17">
        <f t="shared" si="0"/>
        <v>22</v>
      </c>
      <c r="C29" s="23" t="s">
        <v>13</v>
      </c>
      <c r="D29" s="20" t="s">
        <v>40</v>
      </c>
      <c r="E29" s="20" t="s">
        <v>74</v>
      </c>
      <c r="F29" s="20" t="s">
        <v>94</v>
      </c>
      <c r="G29" s="20" t="s">
        <v>120</v>
      </c>
      <c r="H29" s="20" t="s">
        <v>132</v>
      </c>
      <c r="I29" s="14" t="s">
        <v>208</v>
      </c>
      <c r="J29" s="20" t="s">
        <v>165</v>
      </c>
      <c r="K29" s="20" t="s">
        <v>191</v>
      </c>
      <c r="L29" s="20">
        <v>1</v>
      </c>
      <c r="M29" s="14">
        <f t="shared" si="1"/>
        <v>1000</v>
      </c>
      <c r="N29" s="20">
        <v>1100</v>
      </c>
      <c r="O29" s="48" t="s">
        <v>248</v>
      </c>
      <c r="P29" s="21" t="s">
        <v>270</v>
      </c>
      <c r="Q29" s="21">
        <f t="shared" ref="Q29" si="12">P29*N29</f>
        <v>1.1000000000000001</v>
      </c>
      <c r="R29" s="20"/>
    </row>
    <row r="30" spans="1:18" s="50" customFormat="1" ht="24">
      <c r="A30" s="49"/>
      <c r="B30" s="16">
        <f>ROW(B30) - ROW($B$7)</f>
        <v>23</v>
      </c>
      <c r="C30" s="22" t="s">
        <v>14</v>
      </c>
      <c r="D30" s="14" t="s">
        <v>41</v>
      </c>
      <c r="E30" s="14" t="s">
        <v>75</v>
      </c>
      <c r="F30" s="14" t="s">
        <v>94</v>
      </c>
      <c r="G30" s="14" t="s">
        <v>121</v>
      </c>
      <c r="H30" s="14" t="s">
        <v>132</v>
      </c>
      <c r="I30" s="14" t="s">
        <v>208</v>
      </c>
      <c r="J30" s="14" t="s">
        <v>166</v>
      </c>
      <c r="K30" s="14" t="s">
        <v>192</v>
      </c>
      <c r="L30" s="14">
        <v>1</v>
      </c>
      <c r="M30" s="14">
        <f t="shared" si="1"/>
        <v>1000</v>
      </c>
      <c r="N30" s="14">
        <v>1020</v>
      </c>
      <c r="O30" s="48" t="s">
        <v>248</v>
      </c>
      <c r="P30" s="15" t="s">
        <v>271</v>
      </c>
      <c r="Q30" s="15">
        <f>P30*N30</f>
        <v>17.544</v>
      </c>
      <c r="R30" s="14"/>
    </row>
    <row r="31" spans="1:18" s="50" customFormat="1" ht="24">
      <c r="A31" s="49"/>
      <c r="B31" s="17">
        <f t="shared" si="0"/>
        <v>24</v>
      </c>
      <c r="C31" s="23" t="s">
        <v>14</v>
      </c>
      <c r="D31" s="20" t="s">
        <v>42</v>
      </c>
      <c r="E31" s="20" t="s">
        <v>76</v>
      </c>
      <c r="F31" s="20" t="s">
        <v>94</v>
      </c>
      <c r="G31" s="20" t="s">
        <v>122</v>
      </c>
      <c r="H31" s="20" t="s">
        <v>132</v>
      </c>
      <c r="I31" s="14" t="s">
        <v>208</v>
      </c>
      <c r="J31" s="20" t="s">
        <v>167</v>
      </c>
      <c r="K31" s="20" t="s">
        <v>193</v>
      </c>
      <c r="L31" s="20">
        <v>1</v>
      </c>
      <c r="M31" s="14">
        <f t="shared" si="1"/>
        <v>1000</v>
      </c>
      <c r="N31" s="20">
        <v>1020</v>
      </c>
      <c r="O31" s="48" t="s">
        <v>248</v>
      </c>
      <c r="P31" s="21" t="s">
        <v>272</v>
      </c>
      <c r="Q31" s="21">
        <f t="shared" ref="Q31" si="13">P31*N31</f>
        <v>16.32</v>
      </c>
      <c r="R31" s="20"/>
    </row>
    <row r="32" spans="1:18" s="50" customFormat="1" ht="24">
      <c r="A32" s="49"/>
      <c r="B32" s="16">
        <f>ROW(B32) - ROW($B$7)</f>
        <v>25</v>
      </c>
      <c r="C32" s="22" t="s">
        <v>14</v>
      </c>
      <c r="D32" s="14" t="s">
        <v>43</v>
      </c>
      <c r="E32" s="14" t="s">
        <v>77</v>
      </c>
      <c r="F32" s="14" t="s">
        <v>94</v>
      </c>
      <c r="G32" s="14" t="s">
        <v>123</v>
      </c>
      <c r="H32" s="14" t="s">
        <v>132</v>
      </c>
      <c r="I32" s="14" t="s">
        <v>208</v>
      </c>
      <c r="J32" s="14" t="s">
        <v>168</v>
      </c>
      <c r="K32" s="14" t="s">
        <v>194</v>
      </c>
      <c r="L32" s="14">
        <v>1</v>
      </c>
      <c r="M32" s="14">
        <f t="shared" si="1"/>
        <v>1000</v>
      </c>
      <c r="N32" s="14">
        <v>1020</v>
      </c>
      <c r="O32" s="48" t="s">
        <v>248</v>
      </c>
      <c r="P32" s="15" t="s">
        <v>273</v>
      </c>
      <c r="Q32" s="15">
        <f>P32*N32</f>
        <v>16.728000000000002</v>
      </c>
      <c r="R32" s="14"/>
    </row>
    <row r="33" spans="1:18" s="50" customFormat="1">
      <c r="A33" s="49"/>
      <c r="B33" s="17">
        <f t="shared" si="0"/>
        <v>26</v>
      </c>
      <c r="C33" s="23" t="s">
        <v>14</v>
      </c>
      <c r="D33" s="20" t="s">
        <v>44</v>
      </c>
      <c r="E33" s="20" t="s">
        <v>78</v>
      </c>
      <c r="F33" s="20" t="s">
        <v>94</v>
      </c>
      <c r="G33" s="20" t="s">
        <v>124</v>
      </c>
      <c r="H33" s="20" t="s">
        <v>132</v>
      </c>
      <c r="I33" s="14" t="s">
        <v>208</v>
      </c>
      <c r="J33" s="20" t="s">
        <v>169</v>
      </c>
      <c r="K33" s="20" t="s">
        <v>195</v>
      </c>
      <c r="L33" s="20">
        <v>1</v>
      </c>
      <c r="M33" s="14">
        <f t="shared" si="1"/>
        <v>1000</v>
      </c>
      <c r="N33" s="20">
        <v>1100</v>
      </c>
      <c r="O33" s="48" t="s">
        <v>248</v>
      </c>
      <c r="P33" s="21" t="s">
        <v>274</v>
      </c>
      <c r="Q33" s="21">
        <f t="shared" ref="Q33" si="14">P33*N33</f>
        <v>0.65999999999999992</v>
      </c>
      <c r="R33" s="20"/>
    </row>
    <row r="34" spans="1:18" s="50" customFormat="1" ht="60">
      <c r="A34" s="49"/>
      <c r="B34" s="16">
        <f>ROW(B34) - ROW($B$7)</f>
        <v>27</v>
      </c>
      <c r="C34" s="22" t="s">
        <v>15</v>
      </c>
      <c r="D34" s="14" t="s">
        <v>45</v>
      </c>
      <c r="E34" s="14" t="s">
        <v>79</v>
      </c>
      <c r="F34" s="14" t="s">
        <v>210</v>
      </c>
      <c r="G34" s="14" t="s">
        <v>95</v>
      </c>
      <c r="H34" s="14" t="s">
        <v>138</v>
      </c>
      <c r="I34" s="14" t="s">
        <v>208</v>
      </c>
      <c r="J34" s="14" t="s">
        <v>170</v>
      </c>
      <c r="K34" s="45" t="s">
        <v>208</v>
      </c>
      <c r="L34" s="14">
        <v>2</v>
      </c>
      <c r="M34" s="14">
        <f t="shared" si="1"/>
        <v>2000</v>
      </c>
      <c r="N34" s="14">
        <v>2010</v>
      </c>
      <c r="O34" s="48" t="s">
        <v>248</v>
      </c>
      <c r="P34" s="15" t="s">
        <v>275</v>
      </c>
      <c r="Q34" s="15">
        <f>P34*N34</f>
        <v>52.661999999999999</v>
      </c>
      <c r="R34" s="14"/>
    </row>
    <row r="35" spans="1:18" s="50" customFormat="1">
      <c r="A35" s="49"/>
      <c r="B35" s="17">
        <f t="shared" si="0"/>
        <v>28</v>
      </c>
      <c r="C35" s="23" t="s">
        <v>16</v>
      </c>
      <c r="D35" s="20" t="s">
        <v>46</v>
      </c>
      <c r="E35" s="20" t="s">
        <v>80</v>
      </c>
      <c r="F35" s="20" t="s">
        <v>96</v>
      </c>
      <c r="G35" s="20" t="s">
        <v>125</v>
      </c>
      <c r="H35" s="20" t="s">
        <v>139</v>
      </c>
      <c r="I35" s="14" t="s">
        <v>208</v>
      </c>
      <c r="J35" s="20" t="s">
        <v>171</v>
      </c>
      <c r="K35" s="45" t="s">
        <v>208</v>
      </c>
      <c r="L35" s="20">
        <v>1</v>
      </c>
      <c r="M35" s="14">
        <f t="shared" si="1"/>
        <v>1000</v>
      </c>
      <c r="N35" s="20">
        <v>1002</v>
      </c>
      <c r="O35" s="48" t="s">
        <v>248</v>
      </c>
      <c r="P35" s="21" t="s">
        <v>276</v>
      </c>
      <c r="Q35" s="21">
        <f t="shared" ref="Q35" si="15">P35*N35</f>
        <v>1934.2607999999998</v>
      </c>
      <c r="R35" s="20"/>
    </row>
    <row r="36" spans="1:18" s="50" customFormat="1" ht="24">
      <c r="A36" s="49"/>
      <c r="B36" s="16">
        <f>ROW(B36) - ROW($B$7)</f>
        <v>29</v>
      </c>
      <c r="C36" s="22" t="s">
        <v>16</v>
      </c>
      <c r="D36" s="14" t="s">
        <v>47</v>
      </c>
      <c r="E36" s="14" t="s">
        <v>81</v>
      </c>
      <c r="F36" s="14" t="s">
        <v>97</v>
      </c>
      <c r="G36" s="14" t="s">
        <v>126</v>
      </c>
      <c r="H36" s="14" t="s">
        <v>140</v>
      </c>
      <c r="I36" s="14" t="s">
        <v>208</v>
      </c>
      <c r="J36" s="14" t="s">
        <v>172</v>
      </c>
      <c r="K36" s="45" t="s">
        <v>208</v>
      </c>
      <c r="L36" s="14">
        <v>1</v>
      </c>
      <c r="M36" s="14">
        <f t="shared" si="1"/>
        <v>1000</v>
      </c>
      <c r="N36" s="14">
        <v>1002</v>
      </c>
      <c r="O36" s="48" t="s">
        <v>248</v>
      </c>
      <c r="P36" s="15" t="s">
        <v>277</v>
      </c>
      <c r="Q36" s="15">
        <f>P36*N36</f>
        <v>239.77860000000001</v>
      </c>
      <c r="R36" s="14"/>
    </row>
    <row r="37" spans="1:18" s="50" customFormat="1" ht="24">
      <c r="A37" s="49"/>
      <c r="B37" s="17">
        <f t="shared" si="0"/>
        <v>30</v>
      </c>
      <c r="C37" s="23" t="s">
        <v>16</v>
      </c>
      <c r="D37" s="20" t="s">
        <v>48</v>
      </c>
      <c r="E37" s="20" t="s">
        <v>82</v>
      </c>
      <c r="F37" s="20" t="s">
        <v>98</v>
      </c>
      <c r="G37" s="20" t="s">
        <v>127</v>
      </c>
      <c r="H37" s="20" t="s">
        <v>141</v>
      </c>
      <c r="I37" s="14" t="s">
        <v>208</v>
      </c>
      <c r="J37" s="20" t="s">
        <v>173</v>
      </c>
      <c r="K37" s="45" t="s">
        <v>208</v>
      </c>
      <c r="L37" s="20">
        <v>1</v>
      </c>
      <c r="M37" s="14">
        <f t="shared" si="1"/>
        <v>1000</v>
      </c>
      <c r="N37" s="20">
        <v>1005</v>
      </c>
      <c r="O37" s="48" t="s">
        <v>248</v>
      </c>
      <c r="P37" s="21" t="s">
        <v>278</v>
      </c>
      <c r="Q37" s="21">
        <f t="shared" ref="Q37" si="16">P37*N37</f>
        <v>69.646500000000003</v>
      </c>
      <c r="R37" s="20"/>
    </row>
    <row r="38" spans="1:18" s="50" customFormat="1" ht="24">
      <c r="A38" s="49"/>
      <c r="B38" s="16">
        <f>ROW(B38) - ROW($B$7)</f>
        <v>31</v>
      </c>
      <c r="C38" s="22" t="s">
        <v>16</v>
      </c>
      <c r="D38" s="14" t="s">
        <v>49</v>
      </c>
      <c r="E38" s="14" t="s">
        <v>83</v>
      </c>
      <c r="F38" s="14" t="s">
        <v>99</v>
      </c>
      <c r="G38" s="14" t="s">
        <v>128</v>
      </c>
      <c r="H38" s="14" t="s">
        <v>140</v>
      </c>
      <c r="I38" s="14" t="s">
        <v>208</v>
      </c>
      <c r="J38" s="14" t="s">
        <v>174</v>
      </c>
      <c r="K38" s="45" t="s">
        <v>208</v>
      </c>
      <c r="L38" s="14">
        <v>1</v>
      </c>
      <c r="M38" s="14">
        <f t="shared" si="1"/>
        <v>1000</v>
      </c>
      <c r="N38" s="14">
        <v>2002</v>
      </c>
      <c r="O38" s="48" t="s">
        <v>248</v>
      </c>
      <c r="P38" s="15" t="s">
        <v>279</v>
      </c>
      <c r="Q38" s="15">
        <f>P38*N38</f>
        <v>1180.3792000000001</v>
      </c>
      <c r="R38" s="14"/>
    </row>
    <row r="39" spans="1:18" s="50" customFormat="1" ht="24">
      <c r="A39" s="49"/>
      <c r="B39" s="17">
        <f t="shared" si="0"/>
        <v>32</v>
      </c>
      <c r="C39" s="23" t="s">
        <v>17</v>
      </c>
      <c r="D39" s="20" t="s">
        <v>50</v>
      </c>
      <c r="E39" s="20" t="s">
        <v>84</v>
      </c>
      <c r="F39" s="14" t="s">
        <v>210</v>
      </c>
      <c r="G39" s="20" t="s">
        <v>100</v>
      </c>
      <c r="H39" s="20" t="s">
        <v>142</v>
      </c>
      <c r="I39" s="14" t="s">
        <v>208</v>
      </c>
      <c r="J39" s="20" t="s">
        <v>175</v>
      </c>
      <c r="K39" s="45" t="s">
        <v>208</v>
      </c>
      <c r="L39" s="20">
        <v>1</v>
      </c>
      <c r="M39" s="14">
        <f t="shared" si="1"/>
        <v>1000</v>
      </c>
      <c r="N39" s="20">
        <v>1002</v>
      </c>
      <c r="O39" s="48" t="s">
        <v>248</v>
      </c>
      <c r="P39" s="21" t="s">
        <v>280</v>
      </c>
      <c r="Q39" s="21">
        <f t="shared" ref="Q39" si="17">P39*N39</f>
        <v>670.03739999999993</v>
      </c>
      <c r="R39" s="20"/>
    </row>
    <row r="40" spans="1:18" s="50" customFormat="1" ht="24">
      <c r="A40" s="49"/>
      <c r="B40" s="16">
        <f>ROW(B40) - ROW($B$7)</f>
        <v>33</v>
      </c>
      <c r="C40" s="22" t="s">
        <v>16</v>
      </c>
      <c r="D40" s="14" t="s">
        <v>51</v>
      </c>
      <c r="E40" s="14" t="s">
        <v>83</v>
      </c>
      <c r="F40" s="14" t="s">
        <v>99</v>
      </c>
      <c r="G40" s="14" t="s">
        <v>129</v>
      </c>
      <c r="H40" s="14" t="s">
        <v>140</v>
      </c>
      <c r="I40" s="14" t="s">
        <v>208</v>
      </c>
      <c r="J40" s="14" t="s">
        <v>176</v>
      </c>
      <c r="K40" s="45" t="s">
        <v>208</v>
      </c>
      <c r="L40" s="14">
        <v>3</v>
      </c>
      <c r="M40" s="14">
        <f t="shared" si="1"/>
        <v>3000</v>
      </c>
      <c r="N40" s="14">
        <v>3002</v>
      </c>
      <c r="O40" s="48" t="s">
        <v>248</v>
      </c>
      <c r="P40" s="15" t="s">
        <v>281</v>
      </c>
      <c r="Q40" s="15">
        <f>P40*N40</f>
        <v>1304.6692</v>
      </c>
      <c r="R40" s="14"/>
    </row>
    <row r="41" spans="1:18" s="50" customFormat="1" ht="102.75" thickBot="1">
      <c r="A41" s="49"/>
      <c r="B41" s="16">
        <f>ROW(B41) - ROW($B$7)</f>
        <v>34</v>
      </c>
      <c r="C41" s="22" t="s">
        <v>207</v>
      </c>
      <c r="D41" s="14" t="s">
        <v>208</v>
      </c>
      <c r="E41" s="45" t="s">
        <v>209</v>
      </c>
      <c r="F41" s="14" t="s">
        <v>210</v>
      </c>
      <c r="G41" s="45" t="s">
        <v>211</v>
      </c>
      <c r="H41" s="14" t="s">
        <v>212</v>
      </c>
      <c r="I41" s="14" t="s">
        <v>208</v>
      </c>
      <c r="J41" s="14" t="s">
        <v>214</v>
      </c>
      <c r="K41" s="45" t="s">
        <v>208</v>
      </c>
      <c r="L41" s="14">
        <v>1</v>
      </c>
      <c r="M41" s="14">
        <f t="shared" si="1"/>
        <v>1000</v>
      </c>
      <c r="N41" s="14">
        <v>1002</v>
      </c>
      <c r="O41" s="48" t="s">
        <v>248</v>
      </c>
      <c r="P41" s="15" t="s">
        <v>247</v>
      </c>
      <c r="Q41" s="15">
        <f>P41*N41</f>
        <v>279.15719999999999</v>
      </c>
      <c r="R41" s="46" t="s">
        <v>213</v>
      </c>
    </row>
    <row r="42" spans="1:18" ht="19.5" thickBot="1">
      <c r="A42" s="1"/>
      <c r="B42" s="1"/>
      <c r="C42" s="1"/>
      <c r="D42" s="1"/>
      <c r="E42" s="1"/>
      <c r="F42" s="1"/>
      <c r="G42" s="1"/>
      <c r="H42" s="1"/>
      <c r="I42" s="1"/>
      <c r="J42" s="1"/>
      <c r="K42" s="1"/>
      <c r="L42" s="1"/>
      <c r="M42" s="1"/>
      <c r="N42" s="43" t="s">
        <v>3</v>
      </c>
      <c r="O42" s="44"/>
      <c r="P42" s="44"/>
      <c r="Q42" s="18">
        <f>SUM(Q8:Q41)</f>
        <v>8394.4329999999991</v>
      </c>
      <c r="R42" s="1"/>
    </row>
    <row r="43" spans="1:18" ht="19.5" thickBot="1">
      <c r="A43" s="1"/>
      <c r="B43" s="1"/>
      <c r="C43" s="1"/>
      <c r="D43" s="1"/>
      <c r="E43" s="1"/>
      <c r="F43" s="1"/>
      <c r="G43" s="1"/>
      <c r="H43" s="1"/>
      <c r="I43" s="1"/>
      <c r="J43" s="1"/>
      <c r="K43" s="1"/>
      <c r="L43" s="1"/>
      <c r="M43" s="1"/>
      <c r="N43" s="43" t="s">
        <v>4</v>
      </c>
      <c r="O43" s="44"/>
      <c r="P43" s="44"/>
      <c r="Q43" s="19">
        <f>Q42/1000</f>
        <v>8.3944329999999994</v>
      </c>
      <c r="R43" s="1"/>
    </row>
  </sheetData>
  <mergeCells count="3">
    <mergeCell ref="K1:R1"/>
    <mergeCell ref="N42:P42"/>
    <mergeCell ref="N43:P43"/>
  </mergeCells>
  <hyperlinks>
    <hyperlink ref="O8" r:id="rId1"/>
    <hyperlink ref="O9" r:id="rId2"/>
    <hyperlink ref="O10" r:id="rId3"/>
    <hyperlink ref="O11" r:id="rId4"/>
    <hyperlink ref="O12" r:id="rId5"/>
    <hyperlink ref="O13" r:id="rId6"/>
    <hyperlink ref="O14" r:id="rId7"/>
    <hyperlink ref="O15" r:id="rId8"/>
    <hyperlink ref="O16" r:id="rId9"/>
    <hyperlink ref="O17" r:id="rId10"/>
    <hyperlink ref="O18" r:id="rId11"/>
    <hyperlink ref="O19" r:id="rId12"/>
    <hyperlink ref="O20" r:id="rId13"/>
    <hyperlink ref="O21" r:id="rId14"/>
    <hyperlink ref="O22" r:id="rId15"/>
    <hyperlink ref="O23" r:id="rId16"/>
    <hyperlink ref="O24" r:id="rId17"/>
    <hyperlink ref="O25" r:id="rId18"/>
    <hyperlink ref="O26" r:id="rId19"/>
    <hyperlink ref="O27" r:id="rId20"/>
    <hyperlink ref="O28" r:id="rId21"/>
    <hyperlink ref="O29" r:id="rId22"/>
    <hyperlink ref="O30" r:id="rId23"/>
    <hyperlink ref="O31" r:id="rId24"/>
    <hyperlink ref="O32" r:id="rId25"/>
    <hyperlink ref="O33" r:id="rId26"/>
    <hyperlink ref="O34" r:id="rId27"/>
    <hyperlink ref="O35" r:id="rId28"/>
    <hyperlink ref="O36" r:id="rId29"/>
    <hyperlink ref="O37" r:id="rId30"/>
    <hyperlink ref="O38" r:id="rId31"/>
    <hyperlink ref="O39" r:id="rId32"/>
    <hyperlink ref="O40" r:id="rId33"/>
    <hyperlink ref="O41"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 Boards</vt:lpstr>
      <vt:lpstr>1000 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Nymble 3</dc:creator>
  <cp:lastModifiedBy>Iftikhar Ahmed</cp:lastModifiedBy>
  <dcterms:created xsi:type="dcterms:W3CDTF">2019-12-12T10:34:26Z</dcterms:created>
  <dcterms:modified xsi:type="dcterms:W3CDTF">2025-03-03T05:19:09Z</dcterms:modified>
</cp:coreProperties>
</file>