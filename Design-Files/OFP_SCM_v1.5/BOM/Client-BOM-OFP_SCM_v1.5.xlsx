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D:\eSpark-Consultants\nabilfesal-smartmeter-hw\Design-Files\OFP_SCM_v1.5\BOM\"/>
    </mc:Choice>
  </mc:AlternateContent>
  <bookViews>
    <workbookView xWindow="28680" yWindow="-120" windowWidth="29040" windowHeight="15840"/>
  </bookViews>
  <sheets>
    <sheet name="Sheet1" sheetId="1" r:id="rId1"/>
  </sheets>
  <calcPr calcId="162913"/>
</workbook>
</file>

<file path=xl/calcChain.xml><?xml version="1.0" encoding="utf-8"?>
<calcChain xmlns="http://schemas.openxmlformats.org/spreadsheetml/2006/main">
  <c r="B36" i="1" l="1"/>
  <c r="B35" i="1" l="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l="1"/>
  <c r="B3" i="1"/>
</calcChain>
</file>

<file path=xl/sharedStrings.xml><?xml version="1.0" encoding="utf-8"?>
<sst xmlns="http://schemas.openxmlformats.org/spreadsheetml/2006/main" count="249" uniqueCount="168">
  <si>
    <t>#</t>
  </si>
  <si>
    <t>Item Type</t>
  </si>
  <si>
    <t>Capacitor</t>
  </si>
  <si>
    <t>Capacitors</t>
  </si>
  <si>
    <t>Male Pin Header</t>
  </si>
  <si>
    <t>Male Header</t>
  </si>
  <si>
    <t>Wire to Board Connector</t>
  </si>
  <si>
    <t>Inductors</t>
  </si>
  <si>
    <t>LED</t>
  </si>
  <si>
    <t>Resistor</t>
  </si>
  <si>
    <t>Resistors</t>
  </si>
  <si>
    <t>Tactile Switch</t>
  </si>
  <si>
    <t>IC</t>
  </si>
  <si>
    <t>Module</t>
  </si>
  <si>
    <t>Designator</t>
  </si>
  <si>
    <t>C1, C2, C3, C9, C18, C24, C32, C34, C36, C38</t>
  </si>
  <si>
    <t>C4, C5, C6, C8, C12, C15, C16, C19, C20, C22, C23, C26, C27, C28, C29, C30, C31, C33, C35, C37, C39</t>
  </si>
  <si>
    <t>C7</t>
  </si>
  <si>
    <t>C10, C11</t>
  </si>
  <si>
    <t>C13, C14</t>
  </si>
  <si>
    <t>C17</t>
  </si>
  <si>
    <t>C21</t>
  </si>
  <si>
    <t>C25</t>
  </si>
  <si>
    <t>J1</t>
  </si>
  <si>
    <t>J2</t>
  </si>
  <si>
    <t>J3</t>
  </si>
  <si>
    <t>J4, J5, J6, J7, J8</t>
  </si>
  <si>
    <t>L1</t>
  </si>
  <si>
    <t>LED1, LED2, LED3, LED4</t>
  </si>
  <si>
    <t>LED5</t>
  </si>
  <si>
    <t>R1</t>
  </si>
  <si>
    <t>R2, R3, R6</t>
  </si>
  <si>
    <t>R4, R5, R21, R22, R23, R24, R25</t>
  </si>
  <si>
    <t>R7, R8, R9, R10, R19</t>
  </si>
  <si>
    <t>R11, R12, R17</t>
  </si>
  <si>
    <t>R13</t>
  </si>
  <si>
    <t>R14</t>
  </si>
  <si>
    <t>R15</t>
  </si>
  <si>
    <t>R16</t>
  </si>
  <si>
    <t>R18</t>
  </si>
  <si>
    <t>R20</t>
  </si>
  <si>
    <t>SW1, SW2</t>
  </si>
  <si>
    <t>U1</t>
  </si>
  <si>
    <t>U2</t>
  </si>
  <si>
    <t>U3</t>
  </si>
  <si>
    <t>U4</t>
  </si>
  <si>
    <t>U5</t>
  </si>
  <si>
    <t>U6, U7, U8</t>
  </si>
  <si>
    <t>Description</t>
  </si>
  <si>
    <t>CAP CER 10UF 10V X7R 0603</t>
  </si>
  <si>
    <t>CAP CER 0.1UF 50V X7R 0603</t>
  </si>
  <si>
    <t>CAP CER 1UF 50V X7R 0603</t>
  </si>
  <si>
    <t>CAP CER 10UF 50V X7R 1210</t>
  </si>
  <si>
    <t>CAP CER 22UF 10V X7R 0805</t>
  </si>
  <si>
    <t>CAP CER 0.033UF 50V X7R 0603</t>
  </si>
  <si>
    <t>CAP CER 100UF 6.3V X5R 1210</t>
  </si>
  <si>
    <t>CAP CER 4.7UF 10V X7R 0603</t>
  </si>
  <si>
    <t>Gold 250V 3A Policy 2.5mm 6P -40℃~+105℃ 2.54mm Double Row Black Brass 2x3P 2.54mm Plugin,P=2.54mm Pin Headers ROHS</t>
  </si>
  <si>
    <t>Gold 250V 3A Square Pins 2.5mm 8P 260℃ 6mm -40℃~+105℃ 3mm 2.54mm Plugin Black Brass 2.54mm 1x8P Plugin,P=2.54mm Pin Headers ROHS</t>
  </si>
  <si>
    <t>CONN HEADER VERT 8POS 2.5MM</t>
  </si>
  <si>
    <t>2x12P 24P 2 Tin 2.54mm 2.54mm 12 3A Brass Direct Insert Plugin,P=2.54mm Wire To Board Connector ROHS</t>
  </si>
  <si>
    <t>FIXED IND 6.8UH 4.5A 50.16 MOHM</t>
  </si>
  <si>
    <t>blue 0603 Light Emitting Diodes (LED) ROHS</t>
  </si>
  <si>
    <t>RED LED 0603 Light Emitting Diodes</t>
  </si>
  <si>
    <t>RES SMD 10K Ohm 1% 1/10W 0603</t>
  </si>
  <si>
    <t>RES SMD 1K OHM 1% 1/10W 0603</t>
  </si>
  <si>
    <t>RES SMD 4.7K OHM 1% 1/10W 0603</t>
  </si>
  <si>
    <t>RES SMD 680 OHM 1% 1/10W 0603</t>
  </si>
  <si>
    <t>RES SMD 0R, 1%, 0.1W, 0603</t>
  </si>
  <si>
    <t>RES SMD 511K OHM 0.1% 1/10W 0603</t>
  </si>
  <si>
    <t>RES 49.9 OHM 1% 1/10W 0603</t>
  </si>
  <si>
    <t>RES SMD 88.7KOHM 0.1% 1/10W 0603</t>
  </si>
  <si>
    <t>RES SMD 10.2KOHM 0.1% 1/10W 0603</t>
  </si>
  <si>
    <t>RES SMD 53.6KOHM 0.1% 1/10W 0603</t>
  </si>
  <si>
    <t>RES 100K OHM 1% 1/10W 0603</t>
  </si>
  <si>
    <t>Without bracket 50mA 4mm 100000 Times 12V 160gf 3mm 2mm Round Button Standing paste SPST SMD Tactile Switches ROHS</t>
  </si>
  <si>
    <t>IC MCU 32BIT 128KB FLASH 48QFN</t>
  </si>
  <si>
    <t>IC REG BUCK ADJ 3A SOT583</t>
  </si>
  <si>
    <t>TSOT-23-5 Linear Voltage Regulators (LDO) ROHS</t>
  </si>
  <si>
    <t>DGTL ISO 5000VRMS 4CH GP 16SOIC</t>
  </si>
  <si>
    <t>SIP-4 Isolated Power Modules ROHS</t>
  </si>
  <si>
    <t>Footprint</t>
  </si>
  <si>
    <t>Cap-0603</t>
  </si>
  <si>
    <t>Cap-1210</t>
  </si>
  <si>
    <t>Cap-0805</t>
  </si>
  <si>
    <t>X6521WV-2x03H-C60D30</t>
  </si>
  <si>
    <t>HDR 1x8 TH male</t>
  </si>
  <si>
    <t>B8B-XH-A(LF)(SN)</t>
  </si>
  <si>
    <t>X9555WV-2x12-6TV01</t>
  </si>
  <si>
    <t>LED-0603</t>
  </si>
  <si>
    <t>Res-0603</t>
  </si>
  <si>
    <t>TS-1088-AR02016</t>
  </si>
  <si>
    <t>48-QFN (7x7)</t>
  </si>
  <si>
    <t>SOT-583</t>
  </si>
  <si>
    <t>TSOT-23-5</t>
  </si>
  <si>
    <t>SOIC-16-300mil</t>
  </si>
  <si>
    <t>B0503S-2WR3</t>
  </si>
  <si>
    <t>Manufacturer Part Number</t>
  </si>
  <si>
    <t>GRM188Z71A106KA73D</t>
  </si>
  <si>
    <t>GCJ188R71H104KA12D</t>
  </si>
  <si>
    <t>CC0603KRX7R9BB105</t>
  </si>
  <si>
    <t>GRM32ER71H106KA12L</t>
  </si>
  <si>
    <t>GRM21BZ71A226ME15L</t>
  </si>
  <si>
    <t>GCJ188R71H333KA12D</t>
  </si>
  <si>
    <t>CC1210MKX5R5BB107</t>
  </si>
  <si>
    <t>GRM188Z71A475KE15D</t>
  </si>
  <si>
    <t>X6511WV-08H-C60D30</t>
  </si>
  <si>
    <t>ETQ-P3M6R8KVN</t>
  </si>
  <si>
    <t>NCD0603B3</t>
  </si>
  <si>
    <t>NCD0603R3</t>
  </si>
  <si>
    <t>RC0603FR-0710KL</t>
  </si>
  <si>
    <t>RC0603FR-071KL</t>
  </si>
  <si>
    <t>RC0603FR-074K7L</t>
  </si>
  <si>
    <t>RC0603FR-07680RL</t>
  </si>
  <si>
    <t>RC0603FR-070RL</t>
  </si>
  <si>
    <t>RT0603BRD07511KL</t>
  </si>
  <si>
    <t>RC0603FR-0749R9L</t>
  </si>
  <si>
    <t>RT0603BRD0788K7L</t>
  </si>
  <si>
    <t>RT0603BRE0710K2L</t>
  </si>
  <si>
    <t>RT0603BRD0753K6L</t>
  </si>
  <si>
    <t>RC0603FR-07100KL</t>
  </si>
  <si>
    <t>ATSAMD20G17A-MU</t>
  </si>
  <si>
    <t>TPS62933DRLR</t>
  </si>
  <si>
    <t>RT9080-33GJ5</t>
  </si>
  <si>
    <t>ISO7741DWR</t>
  </si>
  <si>
    <t>ISO7740DWR</t>
  </si>
  <si>
    <t>Manufacturer</t>
  </si>
  <si>
    <t>Murata</t>
  </si>
  <si>
    <t>Yageo</t>
  </si>
  <si>
    <t>XKB</t>
  </si>
  <si>
    <t>JST</t>
  </si>
  <si>
    <t>XKB Connectivity</t>
  </si>
  <si>
    <t>Panasonic</t>
  </si>
  <si>
    <t>Foshan NationStar Optoelectronics</t>
  </si>
  <si>
    <t>XUNPU</t>
  </si>
  <si>
    <t>Microchip</t>
  </si>
  <si>
    <t>Texas Instruments</t>
  </si>
  <si>
    <t>Richtek Tech</t>
  </si>
  <si>
    <t>YLPTEC</t>
  </si>
  <si>
    <t>10uF</t>
  </si>
  <si>
    <t>0.1uF</t>
  </si>
  <si>
    <t>1uF</t>
  </si>
  <si>
    <t>22uF</t>
  </si>
  <si>
    <t>33nF</t>
  </si>
  <si>
    <t>100uF</t>
  </si>
  <si>
    <t>4.7uF</t>
  </si>
  <si>
    <t>6.8uH</t>
  </si>
  <si>
    <t>10K</t>
  </si>
  <si>
    <t>1K</t>
  </si>
  <si>
    <t>4.7K</t>
  </si>
  <si>
    <t>680R</t>
  </si>
  <si>
    <t>0R</t>
  </si>
  <si>
    <t>511K</t>
  </si>
  <si>
    <t>49.9R</t>
  </si>
  <si>
    <t>88.7K</t>
  </si>
  <si>
    <t>10.2K</t>
  </si>
  <si>
    <t>53.6K</t>
  </si>
  <si>
    <t>100K</t>
  </si>
  <si>
    <t>Quantity</t>
  </si>
  <si>
    <t>Peripheral</t>
  </si>
  <si>
    <t>-</t>
  </si>
  <si>
    <t xml:space="preserve">Dupont wire / terminal block wire / electronic wire </t>
  </si>
  <si>
    <t>Custom</t>
  </si>
  <si>
    <t>XF-P00014</t>
  </si>
  <si>
    <t>XFCN</t>
  </si>
  <si>
    <t>We can also ask custom supplier on this as the actual cable length that is required is 150mm. The above parts have 300mm wire length. We can ask to find part number of B8B-XH-A (LF)(SN) connector or XH series 8 pin connector with 150mm length.</t>
  </si>
  <si>
    <t>value</t>
  </si>
  <si>
    <t>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</si>
</sst>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0"/>
      <color indexed="13"/>
      <name val="Arial"/>
      <family val="2"/>
    </font>
    <font>
      <b/>
      <sz val="10"/>
      <color theme="0"/>
      <name val="Calibri"/>
      <family val="2"/>
      <scheme val="minor"/>
    </font>
    <font>
      <b/>
      <sz val="11"/>
      <color theme="0"/>
      <name val="Calibri"/>
      <family val="2"/>
      <scheme val="minor"/>
    </font>
    <font>
      <sz val="9"/>
      <name val="Calibri"/>
      <family val="2"/>
      <scheme val="minor"/>
    </font>
    <font>
      <b/>
      <sz val="10"/>
      <name val="Calibri"/>
      <family val="2"/>
      <scheme val="minor"/>
    </font>
    <font>
      <b/>
      <sz val="10"/>
      <color rgb="FFFF000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1" tint="0.499984740745262"/>
        <bgColor indexed="64"/>
      </patternFill>
    </fill>
  </fills>
  <borders count="8">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2" borderId="0" xfId="0" applyFont="1" applyFill="1"/>
    <xf numFmtId="0" fontId="1" fillId="2" borderId="1" xfId="0" applyFont="1" applyFill="1" applyBorder="1"/>
    <xf numFmtId="0" fontId="1" fillId="2" borderId="0" xfId="0" applyFont="1" applyFill="1" applyAlignment="1">
      <alignment horizontal="center"/>
    </xf>
    <xf numFmtId="0" fontId="0" fillId="0" borderId="0" xfId="0" applyAlignment="1">
      <alignment horizontal="center"/>
    </xf>
    <xf numFmtId="0" fontId="3" fillId="3" borderId="5" xfId="0" applyFont="1" applyFill="1" applyBorder="1" applyAlignment="1">
      <alignment horizontal="center" vertical="center"/>
    </xf>
    <xf numFmtId="0" fontId="3" fillId="3" borderId="4"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 fillId="2" borderId="1" xfId="0" applyFont="1" applyFill="1" applyBorder="1" applyAlignment="1">
      <alignment horizontal="center"/>
    </xf>
    <xf numFmtId="0" fontId="6" fillId="2" borderId="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03A4CB"/>
      <color rgb="FF2CD0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36"/>
  <sheetViews>
    <sheetView tabSelected="1" workbookViewId="0">
      <selection activeCell="E17" sqref="E17"/>
    </sheetView>
  </sheetViews>
  <sheetFormatPr defaultRowHeight="15" x14ac:dyDescent="0.25"/>
  <cols>
    <col min="2" max="2" width="3.140625" style="4" customWidth="1"/>
    <col min="3" max="3" width="18.7109375" style="4" bestFit="1" customWidth="1"/>
    <col min="4" max="4" width="36" bestFit="1" customWidth="1"/>
    <col min="5" max="5" width="30" customWidth="1"/>
    <col min="6" max="6" width="14.140625" bestFit="1" customWidth="1"/>
    <col min="7" max="7" width="25.28515625" bestFit="1" customWidth="1"/>
    <col min="8" max="8" width="15.5703125" bestFit="1" customWidth="1"/>
    <col min="9" max="9" width="5.85546875" bestFit="1" customWidth="1"/>
    <col min="10" max="10" width="8.7109375" bestFit="1" customWidth="1"/>
    <col min="11" max="11" width="29.42578125" customWidth="1"/>
  </cols>
  <sheetData>
    <row r="1" spans="1:11" ht="15.75" thickBot="1" x14ac:dyDescent="0.3">
      <c r="A1" s="1"/>
      <c r="B1" s="3"/>
      <c r="C1" s="3"/>
      <c r="D1" s="2"/>
      <c r="E1" s="2"/>
      <c r="F1" s="2"/>
      <c r="G1" s="2"/>
      <c r="H1" s="2"/>
      <c r="I1" s="14"/>
      <c r="J1" s="14"/>
      <c r="K1" s="14"/>
    </row>
    <row r="2" spans="1:11" ht="15.75" thickBot="1" x14ac:dyDescent="0.3">
      <c r="A2" s="1"/>
      <c r="B2" s="5" t="s">
        <v>0</v>
      </c>
      <c r="C2" s="5" t="s">
        <v>1</v>
      </c>
      <c r="D2" s="5" t="s">
        <v>14</v>
      </c>
      <c r="E2" s="6" t="s">
        <v>48</v>
      </c>
      <c r="F2" s="5" t="s">
        <v>81</v>
      </c>
      <c r="G2" s="6" t="s">
        <v>97</v>
      </c>
      <c r="H2" s="5" t="s">
        <v>126</v>
      </c>
      <c r="I2" s="6" t="s">
        <v>166</v>
      </c>
      <c r="J2" s="5" t="s">
        <v>158</v>
      </c>
      <c r="K2" s="5" t="s">
        <v>167</v>
      </c>
    </row>
    <row r="3" spans="1:11" ht="15.75" thickBot="1" x14ac:dyDescent="0.3">
      <c r="A3" s="1"/>
      <c r="B3" s="11">
        <f>ROW(B3) - ROW($B$2)</f>
        <v>1</v>
      </c>
      <c r="C3" s="12" t="s">
        <v>2</v>
      </c>
      <c r="D3" s="7" t="s">
        <v>15</v>
      </c>
      <c r="E3" s="8" t="s">
        <v>49</v>
      </c>
      <c r="F3" s="7" t="s">
        <v>82</v>
      </c>
      <c r="G3" s="8" t="s">
        <v>98</v>
      </c>
      <c r="H3" s="7" t="s">
        <v>127</v>
      </c>
      <c r="I3" s="8" t="s">
        <v>139</v>
      </c>
      <c r="J3" s="7">
        <v>10</v>
      </c>
      <c r="K3" s="7"/>
    </row>
    <row r="4" spans="1:11" ht="24.75" thickBot="1" x14ac:dyDescent="0.3">
      <c r="A4" s="1"/>
      <c r="B4" s="11">
        <f t="shared" ref="B4:B34" si="0">ROW(B4) - ROW($B$2)</f>
        <v>2</v>
      </c>
      <c r="C4" s="13" t="s">
        <v>3</v>
      </c>
      <c r="D4" s="9" t="s">
        <v>16</v>
      </c>
      <c r="E4" s="10" t="s">
        <v>50</v>
      </c>
      <c r="F4" s="9" t="s">
        <v>82</v>
      </c>
      <c r="G4" s="10" t="s">
        <v>99</v>
      </c>
      <c r="H4" s="9" t="s">
        <v>127</v>
      </c>
      <c r="I4" s="10" t="s">
        <v>140</v>
      </c>
      <c r="J4" s="9">
        <v>21</v>
      </c>
      <c r="K4" s="9"/>
    </row>
    <row r="5" spans="1:11" ht="15.75" thickBot="1" x14ac:dyDescent="0.3">
      <c r="A5" s="1"/>
      <c r="B5" s="11">
        <f>ROW(B5) - ROW($B$2)</f>
        <v>3</v>
      </c>
      <c r="C5" s="12" t="s">
        <v>3</v>
      </c>
      <c r="D5" s="7" t="s">
        <v>17</v>
      </c>
      <c r="E5" s="8" t="s">
        <v>51</v>
      </c>
      <c r="F5" s="7" t="s">
        <v>82</v>
      </c>
      <c r="G5" s="8" t="s">
        <v>100</v>
      </c>
      <c r="H5" s="7" t="s">
        <v>128</v>
      </c>
      <c r="I5" s="8" t="s">
        <v>141</v>
      </c>
      <c r="J5" s="7">
        <v>1</v>
      </c>
      <c r="K5" s="7"/>
    </row>
    <row r="6" spans="1:11" ht="15.75" thickBot="1" x14ac:dyDescent="0.3">
      <c r="A6" s="1"/>
      <c r="B6" s="11">
        <f t="shared" si="0"/>
        <v>4</v>
      </c>
      <c r="C6" s="13" t="s">
        <v>3</v>
      </c>
      <c r="D6" s="9" t="s">
        <v>18</v>
      </c>
      <c r="E6" s="10" t="s">
        <v>52</v>
      </c>
      <c r="F6" s="9" t="s">
        <v>83</v>
      </c>
      <c r="G6" s="10" t="s">
        <v>101</v>
      </c>
      <c r="H6" s="9" t="s">
        <v>127</v>
      </c>
      <c r="I6" s="10" t="s">
        <v>139</v>
      </c>
      <c r="J6" s="9">
        <v>2</v>
      </c>
      <c r="K6" s="9"/>
    </row>
    <row r="7" spans="1:11" ht="15.75" thickBot="1" x14ac:dyDescent="0.3">
      <c r="A7" s="1"/>
      <c r="B7" s="11">
        <f>ROW(B7) - ROW($B$2)</f>
        <v>5</v>
      </c>
      <c r="C7" s="12" t="s">
        <v>2</v>
      </c>
      <c r="D7" s="7" t="s">
        <v>19</v>
      </c>
      <c r="E7" s="8" t="s">
        <v>53</v>
      </c>
      <c r="F7" s="7" t="s">
        <v>84</v>
      </c>
      <c r="G7" s="8" t="s">
        <v>102</v>
      </c>
      <c r="H7" s="7" t="s">
        <v>127</v>
      </c>
      <c r="I7" s="8" t="s">
        <v>142</v>
      </c>
      <c r="J7" s="7">
        <v>2</v>
      </c>
      <c r="K7" s="7"/>
    </row>
    <row r="8" spans="1:11" ht="15.75" thickBot="1" x14ac:dyDescent="0.3">
      <c r="A8" s="1"/>
      <c r="B8" s="11">
        <f t="shared" si="0"/>
        <v>6</v>
      </c>
      <c r="C8" s="13" t="s">
        <v>3</v>
      </c>
      <c r="D8" s="9" t="s">
        <v>20</v>
      </c>
      <c r="E8" s="10" t="s">
        <v>54</v>
      </c>
      <c r="F8" s="9" t="s">
        <v>82</v>
      </c>
      <c r="G8" s="10" t="s">
        <v>103</v>
      </c>
      <c r="H8" s="9" t="s">
        <v>127</v>
      </c>
      <c r="I8" s="10" t="s">
        <v>143</v>
      </c>
      <c r="J8" s="9">
        <v>1</v>
      </c>
      <c r="K8" s="9"/>
    </row>
    <row r="9" spans="1:11" ht="15.75" thickBot="1" x14ac:dyDescent="0.3">
      <c r="A9" s="1"/>
      <c r="B9" s="11">
        <f>ROW(B9) - ROW($B$2)</f>
        <v>7</v>
      </c>
      <c r="C9" s="12" t="s">
        <v>3</v>
      </c>
      <c r="D9" s="7" t="s">
        <v>21</v>
      </c>
      <c r="E9" s="8" t="s">
        <v>55</v>
      </c>
      <c r="F9" s="7" t="s">
        <v>83</v>
      </c>
      <c r="G9" s="8" t="s">
        <v>104</v>
      </c>
      <c r="H9" s="7" t="s">
        <v>128</v>
      </c>
      <c r="I9" s="8" t="s">
        <v>144</v>
      </c>
      <c r="J9" s="7">
        <v>1</v>
      </c>
      <c r="K9" s="7"/>
    </row>
    <row r="10" spans="1:11" ht="15.75" thickBot="1" x14ac:dyDescent="0.3">
      <c r="A10" s="1"/>
      <c r="B10" s="11">
        <f t="shared" si="0"/>
        <v>8</v>
      </c>
      <c r="C10" s="13" t="s">
        <v>3</v>
      </c>
      <c r="D10" s="9" t="s">
        <v>22</v>
      </c>
      <c r="E10" s="10" t="s">
        <v>56</v>
      </c>
      <c r="F10" s="9" t="s">
        <v>82</v>
      </c>
      <c r="G10" s="10" t="s">
        <v>105</v>
      </c>
      <c r="H10" s="9" t="s">
        <v>127</v>
      </c>
      <c r="I10" s="10" t="s">
        <v>145</v>
      </c>
      <c r="J10" s="9">
        <v>1</v>
      </c>
      <c r="K10" s="9"/>
    </row>
    <row r="11" spans="1:11" ht="48.75" thickBot="1" x14ac:dyDescent="0.3">
      <c r="A11" s="1"/>
      <c r="B11" s="11">
        <f>ROW(B11) - ROW($B$2)</f>
        <v>9</v>
      </c>
      <c r="C11" s="12" t="s">
        <v>4</v>
      </c>
      <c r="D11" s="7" t="s">
        <v>23</v>
      </c>
      <c r="E11" s="8" t="s">
        <v>57</v>
      </c>
      <c r="F11" s="7" t="s">
        <v>162</v>
      </c>
      <c r="G11" s="8" t="s">
        <v>85</v>
      </c>
      <c r="H11" s="7" t="s">
        <v>129</v>
      </c>
      <c r="I11" s="8" t="s">
        <v>160</v>
      </c>
      <c r="J11" s="7">
        <v>1</v>
      </c>
      <c r="K11" s="7"/>
    </row>
    <row r="12" spans="1:11" ht="60.75" thickBot="1" x14ac:dyDescent="0.3">
      <c r="A12" s="1"/>
      <c r="B12" s="11">
        <f t="shared" si="0"/>
        <v>10</v>
      </c>
      <c r="C12" s="13" t="s">
        <v>5</v>
      </c>
      <c r="D12" s="9" t="s">
        <v>24</v>
      </c>
      <c r="E12" s="10" t="s">
        <v>58</v>
      </c>
      <c r="F12" s="9" t="s">
        <v>86</v>
      </c>
      <c r="G12" s="10" t="s">
        <v>106</v>
      </c>
      <c r="H12" s="9" t="s">
        <v>129</v>
      </c>
      <c r="I12" s="8" t="s">
        <v>160</v>
      </c>
      <c r="J12" s="9">
        <v>1</v>
      </c>
      <c r="K12" s="9"/>
    </row>
    <row r="13" spans="1:11" ht="26.25" thickBot="1" x14ac:dyDescent="0.3">
      <c r="A13" s="1"/>
      <c r="B13" s="11">
        <f>ROW(B13) - ROW($B$2)</f>
        <v>11</v>
      </c>
      <c r="C13" s="12" t="s">
        <v>6</v>
      </c>
      <c r="D13" s="7" t="s">
        <v>25</v>
      </c>
      <c r="E13" s="8" t="s">
        <v>59</v>
      </c>
      <c r="F13" s="7" t="s">
        <v>162</v>
      </c>
      <c r="G13" s="8" t="s">
        <v>87</v>
      </c>
      <c r="H13" s="7" t="s">
        <v>130</v>
      </c>
      <c r="I13" s="8" t="s">
        <v>160</v>
      </c>
      <c r="J13" s="7">
        <v>1</v>
      </c>
      <c r="K13" s="7"/>
    </row>
    <row r="14" spans="1:11" ht="36.75" thickBot="1" x14ac:dyDescent="0.3">
      <c r="A14" s="1"/>
      <c r="B14" s="11">
        <f t="shared" si="0"/>
        <v>12</v>
      </c>
      <c r="C14" s="13" t="s">
        <v>6</v>
      </c>
      <c r="D14" s="9" t="s">
        <v>26</v>
      </c>
      <c r="E14" s="10" t="s">
        <v>60</v>
      </c>
      <c r="F14" s="7" t="s">
        <v>162</v>
      </c>
      <c r="G14" s="10" t="s">
        <v>88</v>
      </c>
      <c r="H14" s="9" t="s">
        <v>131</v>
      </c>
      <c r="I14" s="8" t="s">
        <v>160</v>
      </c>
      <c r="J14" s="9">
        <v>5</v>
      </c>
      <c r="K14" s="9"/>
    </row>
    <row r="15" spans="1:11" ht="15.75" thickBot="1" x14ac:dyDescent="0.3">
      <c r="A15" s="1"/>
      <c r="B15" s="11">
        <f>ROW(B15) - ROW($B$2)</f>
        <v>13</v>
      </c>
      <c r="C15" s="12" t="s">
        <v>7</v>
      </c>
      <c r="D15" s="7" t="s">
        <v>27</v>
      </c>
      <c r="E15" s="8" t="s">
        <v>61</v>
      </c>
      <c r="F15" s="7" t="s">
        <v>162</v>
      </c>
      <c r="G15" s="8" t="s">
        <v>107</v>
      </c>
      <c r="H15" s="7" t="s">
        <v>132</v>
      </c>
      <c r="I15" s="8" t="s">
        <v>146</v>
      </c>
      <c r="J15" s="7">
        <v>1</v>
      </c>
      <c r="K15" s="7"/>
    </row>
    <row r="16" spans="1:11" ht="24.75" thickBot="1" x14ac:dyDescent="0.3">
      <c r="A16" s="1"/>
      <c r="B16" s="11">
        <f t="shared" si="0"/>
        <v>14</v>
      </c>
      <c r="C16" s="13" t="s">
        <v>8</v>
      </c>
      <c r="D16" s="9" t="s">
        <v>28</v>
      </c>
      <c r="E16" s="10" t="s">
        <v>62</v>
      </c>
      <c r="F16" s="9" t="s">
        <v>89</v>
      </c>
      <c r="G16" s="10" t="s">
        <v>108</v>
      </c>
      <c r="H16" s="9" t="s">
        <v>133</v>
      </c>
      <c r="I16" s="10" t="s">
        <v>160</v>
      </c>
      <c r="J16" s="9">
        <v>4</v>
      </c>
      <c r="K16" s="9"/>
    </row>
    <row r="17" spans="1:11" ht="24.75" thickBot="1" x14ac:dyDescent="0.3">
      <c r="A17" s="1"/>
      <c r="B17" s="11">
        <f>ROW(B17) - ROW($B$2)</f>
        <v>15</v>
      </c>
      <c r="C17" s="12" t="s">
        <v>8</v>
      </c>
      <c r="D17" s="7" t="s">
        <v>29</v>
      </c>
      <c r="E17" s="8" t="s">
        <v>63</v>
      </c>
      <c r="F17" s="7" t="s">
        <v>89</v>
      </c>
      <c r="G17" s="8" t="s">
        <v>109</v>
      </c>
      <c r="H17" s="7" t="s">
        <v>133</v>
      </c>
      <c r="I17" s="10" t="s">
        <v>160</v>
      </c>
      <c r="J17" s="7">
        <v>1</v>
      </c>
      <c r="K17" s="7"/>
    </row>
    <row r="18" spans="1:11" ht="15.75" thickBot="1" x14ac:dyDescent="0.3">
      <c r="A18" s="1"/>
      <c r="B18" s="11">
        <f t="shared" si="0"/>
        <v>16</v>
      </c>
      <c r="C18" s="13" t="s">
        <v>9</v>
      </c>
      <c r="D18" s="9" t="s">
        <v>30</v>
      </c>
      <c r="E18" s="10" t="s">
        <v>64</v>
      </c>
      <c r="F18" s="9" t="s">
        <v>90</v>
      </c>
      <c r="G18" s="10" t="s">
        <v>110</v>
      </c>
      <c r="H18" s="9" t="s">
        <v>128</v>
      </c>
      <c r="I18" s="10" t="s">
        <v>147</v>
      </c>
      <c r="J18" s="9">
        <v>1</v>
      </c>
      <c r="K18" s="9"/>
    </row>
    <row r="19" spans="1:11" ht="15.75" thickBot="1" x14ac:dyDescent="0.3">
      <c r="A19" s="1"/>
      <c r="B19" s="11">
        <f>ROW(B19) - ROW($B$2)</f>
        <v>17</v>
      </c>
      <c r="C19" s="12" t="s">
        <v>9</v>
      </c>
      <c r="D19" s="7" t="s">
        <v>31</v>
      </c>
      <c r="E19" s="8" t="s">
        <v>65</v>
      </c>
      <c r="F19" s="7" t="s">
        <v>90</v>
      </c>
      <c r="G19" s="8" t="s">
        <v>111</v>
      </c>
      <c r="H19" s="7" t="s">
        <v>128</v>
      </c>
      <c r="I19" s="8" t="s">
        <v>148</v>
      </c>
      <c r="J19" s="7">
        <v>3</v>
      </c>
      <c r="K19" s="7"/>
    </row>
    <row r="20" spans="1:11" ht="15.75" thickBot="1" x14ac:dyDescent="0.3">
      <c r="A20" s="1"/>
      <c r="B20" s="11">
        <f t="shared" si="0"/>
        <v>18</v>
      </c>
      <c r="C20" s="13" t="s">
        <v>9</v>
      </c>
      <c r="D20" s="9" t="s">
        <v>32</v>
      </c>
      <c r="E20" s="10" t="s">
        <v>66</v>
      </c>
      <c r="F20" s="9" t="s">
        <v>90</v>
      </c>
      <c r="G20" s="10" t="s">
        <v>112</v>
      </c>
      <c r="H20" s="9" t="s">
        <v>128</v>
      </c>
      <c r="I20" s="10" t="s">
        <v>149</v>
      </c>
      <c r="J20" s="9">
        <v>7</v>
      </c>
      <c r="K20" s="9"/>
    </row>
    <row r="21" spans="1:11" ht="15.75" thickBot="1" x14ac:dyDescent="0.3">
      <c r="A21" s="1"/>
      <c r="B21" s="11">
        <f>ROW(B21) - ROW($B$2)</f>
        <v>19</v>
      </c>
      <c r="C21" s="12" t="s">
        <v>9</v>
      </c>
      <c r="D21" s="7" t="s">
        <v>33</v>
      </c>
      <c r="E21" s="8" t="s">
        <v>67</v>
      </c>
      <c r="F21" s="7" t="s">
        <v>90</v>
      </c>
      <c r="G21" s="8" t="s">
        <v>113</v>
      </c>
      <c r="H21" s="7" t="s">
        <v>128</v>
      </c>
      <c r="I21" s="8" t="s">
        <v>150</v>
      </c>
      <c r="J21" s="7">
        <v>5</v>
      </c>
      <c r="K21" s="7"/>
    </row>
    <row r="22" spans="1:11" ht="15.75" thickBot="1" x14ac:dyDescent="0.3">
      <c r="A22" s="1"/>
      <c r="B22" s="11">
        <f t="shared" si="0"/>
        <v>20</v>
      </c>
      <c r="C22" s="13" t="s">
        <v>9</v>
      </c>
      <c r="D22" s="9" t="s">
        <v>34</v>
      </c>
      <c r="E22" s="10" t="s">
        <v>68</v>
      </c>
      <c r="F22" s="9" t="s">
        <v>90</v>
      </c>
      <c r="G22" s="10" t="s">
        <v>114</v>
      </c>
      <c r="H22" s="9" t="s">
        <v>128</v>
      </c>
      <c r="I22" s="10" t="s">
        <v>151</v>
      </c>
      <c r="J22" s="9">
        <v>3</v>
      </c>
      <c r="K22" s="9"/>
    </row>
    <row r="23" spans="1:11" ht="15.75" thickBot="1" x14ac:dyDescent="0.3">
      <c r="A23" s="1"/>
      <c r="B23" s="11">
        <f>ROW(B23) - ROW($B$2)</f>
        <v>21</v>
      </c>
      <c r="C23" s="12" t="s">
        <v>10</v>
      </c>
      <c r="D23" s="7" t="s">
        <v>35</v>
      </c>
      <c r="E23" s="8" t="s">
        <v>69</v>
      </c>
      <c r="F23" s="7" t="s">
        <v>90</v>
      </c>
      <c r="G23" s="8" t="s">
        <v>115</v>
      </c>
      <c r="H23" s="7" t="s">
        <v>128</v>
      </c>
      <c r="I23" s="8" t="s">
        <v>152</v>
      </c>
      <c r="J23" s="7">
        <v>1</v>
      </c>
      <c r="K23" s="7"/>
    </row>
    <row r="24" spans="1:11" ht="15.75" thickBot="1" x14ac:dyDescent="0.3">
      <c r="A24" s="1"/>
      <c r="B24" s="11">
        <f t="shared" si="0"/>
        <v>22</v>
      </c>
      <c r="C24" s="13" t="s">
        <v>9</v>
      </c>
      <c r="D24" s="9" t="s">
        <v>36</v>
      </c>
      <c r="E24" s="10" t="s">
        <v>70</v>
      </c>
      <c r="F24" s="9" t="s">
        <v>90</v>
      </c>
      <c r="G24" s="10" t="s">
        <v>116</v>
      </c>
      <c r="H24" s="9" t="s">
        <v>128</v>
      </c>
      <c r="I24" s="10" t="s">
        <v>153</v>
      </c>
      <c r="J24" s="9">
        <v>1</v>
      </c>
      <c r="K24" s="9"/>
    </row>
    <row r="25" spans="1:11" ht="15.75" thickBot="1" x14ac:dyDescent="0.3">
      <c r="A25" s="1"/>
      <c r="B25" s="11">
        <f>ROW(B25) - ROW($B$2)</f>
        <v>23</v>
      </c>
      <c r="C25" s="12" t="s">
        <v>10</v>
      </c>
      <c r="D25" s="7" t="s">
        <v>37</v>
      </c>
      <c r="E25" s="8" t="s">
        <v>71</v>
      </c>
      <c r="F25" s="7" t="s">
        <v>90</v>
      </c>
      <c r="G25" s="8" t="s">
        <v>117</v>
      </c>
      <c r="H25" s="7" t="s">
        <v>128</v>
      </c>
      <c r="I25" s="8" t="s">
        <v>154</v>
      </c>
      <c r="J25" s="7">
        <v>1</v>
      </c>
      <c r="K25" s="7"/>
    </row>
    <row r="26" spans="1:11" ht="15.75" thickBot="1" x14ac:dyDescent="0.3">
      <c r="A26" s="1"/>
      <c r="B26" s="11">
        <f t="shared" si="0"/>
        <v>24</v>
      </c>
      <c r="C26" s="13" t="s">
        <v>10</v>
      </c>
      <c r="D26" s="9" t="s">
        <v>38</v>
      </c>
      <c r="E26" s="10" t="s">
        <v>72</v>
      </c>
      <c r="F26" s="9" t="s">
        <v>90</v>
      </c>
      <c r="G26" s="10" t="s">
        <v>118</v>
      </c>
      <c r="H26" s="9" t="s">
        <v>128</v>
      </c>
      <c r="I26" s="10" t="s">
        <v>155</v>
      </c>
      <c r="J26" s="9">
        <v>1</v>
      </c>
      <c r="K26" s="9"/>
    </row>
    <row r="27" spans="1:11" ht="15.75" thickBot="1" x14ac:dyDescent="0.3">
      <c r="A27" s="1"/>
      <c r="B27" s="11">
        <f>ROW(B27) - ROW($B$2)</f>
        <v>25</v>
      </c>
      <c r="C27" s="12" t="s">
        <v>10</v>
      </c>
      <c r="D27" s="7" t="s">
        <v>39</v>
      </c>
      <c r="E27" s="8" t="s">
        <v>73</v>
      </c>
      <c r="F27" s="7" t="s">
        <v>90</v>
      </c>
      <c r="G27" s="8" t="s">
        <v>119</v>
      </c>
      <c r="H27" s="7" t="s">
        <v>128</v>
      </c>
      <c r="I27" s="8" t="s">
        <v>156</v>
      </c>
      <c r="J27" s="7">
        <v>1</v>
      </c>
      <c r="K27" s="7"/>
    </row>
    <row r="28" spans="1:11" ht="15.75" thickBot="1" x14ac:dyDescent="0.3">
      <c r="A28" s="1"/>
      <c r="B28" s="11">
        <f t="shared" si="0"/>
        <v>26</v>
      </c>
      <c r="C28" s="13" t="s">
        <v>10</v>
      </c>
      <c r="D28" s="9" t="s">
        <v>40</v>
      </c>
      <c r="E28" s="10" t="s">
        <v>74</v>
      </c>
      <c r="F28" s="9" t="s">
        <v>90</v>
      </c>
      <c r="G28" s="10" t="s">
        <v>120</v>
      </c>
      <c r="H28" s="9" t="s">
        <v>128</v>
      </c>
      <c r="I28" s="10" t="s">
        <v>157</v>
      </c>
      <c r="J28" s="9">
        <v>1</v>
      </c>
      <c r="K28" s="9"/>
    </row>
    <row r="29" spans="1:11" ht="48.75" thickBot="1" x14ac:dyDescent="0.3">
      <c r="A29" s="1"/>
      <c r="B29" s="11">
        <f>ROW(B29) - ROW($B$2)</f>
        <v>27</v>
      </c>
      <c r="C29" s="12" t="s">
        <v>11</v>
      </c>
      <c r="D29" s="7" t="s">
        <v>41</v>
      </c>
      <c r="E29" s="8" t="s">
        <v>75</v>
      </c>
      <c r="F29" s="7" t="s">
        <v>162</v>
      </c>
      <c r="G29" s="8" t="s">
        <v>91</v>
      </c>
      <c r="H29" s="7" t="s">
        <v>134</v>
      </c>
      <c r="I29" s="8" t="s">
        <v>160</v>
      </c>
      <c r="J29" s="7">
        <v>2</v>
      </c>
      <c r="K29" s="7"/>
    </row>
    <row r="30" spans="1:11" ht="15.75" thickBot="1" x14ac:dyDescent="0.3">
      <c r="A30" s="1"/>
      <c r="B30" s="11">
        <f t="shared" si="0"/>
        <v>28</v>
      </c>
      <c r="C30" s="13" t="s">
        <v>12</v>
      </c>
      <c r="D30" s="9" t="s">
        <v>42</v>
      </c>
      <c r="E30" s="10" t="s">
        <v>76</v>
      </c>
      <c r="F30" s="9" t="s">
        <v>92</v>
      </c>
      <c r="G30" s="10" t="s">
        <v>121</v>
      </c>
      <c r="H30" s="9" t="s">
        <v>135</v>
      </c>
      <c r="I30" s="8" t="s">
        <v>160</v>
      </c>
      <c r="J30" s="9">
        <v>1</v>
      </c>
      <c r="K30" s="9"/>
    </row>
    <row r="31" spans="1:11" ht="15.75" thickBot="1" x14ac:dyDescent="0.3">
      <c r="A31" s="1"/>
      <c r="B31" s="11">
        <f>ROW(B31) - ROW($B$2)</f>
        <v>29</v>
      </c>
      <c r="C31" s="12" t="s">
        <v>12</v>
      </c>
      <c r="D31" s="7" t="s">
        <v>43</v>
      </c>
      <c r="E31" s="8" t="s">
        <v>77</v>
      </c>
      <c r="F31" s="7" t="s">
        <v>93</v>
      </c>
      <c r="G31" s="8" t="s">
        <v>122</v>
      </c>
      <c r="H31" s="7" t="s">
        <v>136</v>
      </c>
      <c r="I31" s="8" t="s">
        <v>160</v>
      </c>
      <c r="J31" s="7">
        <v>1</v>
      </c>
      <c r="K31" s="7"/>
    </row>
    <row r="32" spans="1:11" ht="24.75" thickBot="1" x14ac:dyDescent="0.3">
      <c r="A32" s="1"/>
      <c r="B32" s="11">
        <f t="shared" si="0"/>
        <v>30</v>
      </c>
      <c r="C32" s="13" t="s">
        <v>12</v>
      </c>
      <c r="D32" s="9" t="s">
        <v>44</v>
      </c>
      <c r="E32" s="10" t="s">
        <v>78</v>
      </c>
      <c r="F32" s="9" t="s">
        <v>94</v>
      </c>
      <c r="G32" s="10" t="s">
        <v>123</v>
      </c>
      <c r="H32" s="9" t="s">
        <v>137</v>
      </c>
      <c r="I32" s="8" t="s">
        <v>160</v>
      </c>
      <c r="J32" s="9">
        <v>1</v>
      </c>
      <c r="K32" s="9"/>
    </row>
    <row r="33" spans="1:11" ht="15.75" thickBot="1" x14ac:dyDescent="0.3">
      <c r="A33" s="1"/>
      <c r="B33" s="11">
        <f>ROW(B33) - ROW($B$2)</f>
        <v>31</v>
      </c>
      <c r="C33" s="12" t="s">
        <v>12</v>
      </c>
      <c r="D33" s="7" t="s">
        <v>45</v>
      </c>
      <c r="E33" s="8" t="s">
        <v>79</v>
      </c>
      <c r="F33" s="7" t="s">
        <v>95</v>
      </c>
      <c r="G33" s="8" t="s">
        <v>124</v>
      </c>
      <c r="H33" s="7" t="s">
        <v>136</v>
      </c>
      <c r="I33" s="8" t="s">
        <v>160</v>
      </c>
      <c r="J33" s="7">
        <v>1</v>
      </c>
      <c r="K33" s="7"/>
    </row>
    <row r="34" spans="1:11" ht="15.75" thickBot="1" x14ac:dyDescent="0.3">
      <c r="A34" s="1"/>
      <c r="B34" s="11">
        <f t="shared" si="0"/>
        <v>32</v>
      </c>
      <c r="C34" s="13" t="s">
        <v>13</v>
      </c>
      <c r="D34" s="9" t="s">
        <v>46</v>
      </c>
      <c r="E34" s="10" t="s">
        <v>80</v>
      </c>
      <c r="F34" s="7" t="s">
        <v>162</v>
      </c>
      <c r="G34" s="10" t="s">
        <v>96</v>
      </c>
      <c r="H34" s="9" t="s">
        <v>138</v>
      </c>
      <c r="I34" s="8" t="s">
        <v>160</v>
      </c>
      <c r="J34" s="9">
        <v>1</v>
      </c>
      <c r="K34" s="9"/>
    </row>
    <row r="35" spans="1:11" ht="15.75" thickBot="1" x14ac:dyDescent="0.3">
      <c r="A35" s="1"/>
      <c r="B35" s="11">
        <f>ROW(B35) - ROW($B$2)</f>
        <v>33</v>
      </c>
      <c r="C35" s="12" t="s">
        <v>12</v>
      </c>
      <c r="D35" s="7" t="s">
        <v>47</v>
      </c>
      <c r="E35" s="8" t="s">
        <v>79</v>
      </c>
      <c r="F35" s="7" t="s">
        <v>95</v>
      </c>
      <c r="G35" s="8" t="s">
        <v>125</v>
      </c>
      <c r="H35" s="7" t="s">
        <v>136</v>
      </c>
      <c r="I35" s="8" t="s">
        <v>160</v>
      </c>
      <c r="J35" s="7">
        <v>3</v>
      </c>
      <c r="K35" s="7"/>
    </row>
    <row r="36" spans="1:11" ht="102.75" thickBot="1" x14ac:dyDescent="0.3">
      <c r="B36" s="11">
        <f>ROW(B36) - ROW($B$2)</f>
        <v>34</v>
      </c>
      <c r="C36" s="12" t="s">
        <v>159</v>
      </c>
      <c r="D36" s="7" t="s">
        <v>160</v>
      </c>
      <c r="E36" s="8" t="s">
        <v>161</v>
      </c>
      <c r="F36" s="7" t="s">
        <v>162</v>
      </c>
      <c r="G36" s="8" t="s">
        <v>163</v>
      </c>
      <c r="H36" s="7" t="s">
        <v>164</v>
      </c>
      <c r="I36" s="8" t="s">
        <v>160</v>
      </c>
      <c r="J36" s="7">
        <v>1</v>
      </c>
      <c r="K36" s="15" t="s">
        <v>165</v>
      </c>
    </row>
  </sheetData>
  <mergeCells count="1">
    <mergeCell ref="I1:K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Nymble 3</dc:creator>
  <cp:lastModifiedBy>Iftikhar Ahmed</cp:lastModifiedBy>
  <dcterms:created xsi:type="dcterms:W3CDTF">2019-12-12T10:34:26Z</dcterms:created>
  <dcterms:modified xsi:type="dcterms:W3CDTF">2025-02-27T07:18:55Z</dcterms:modified>
</cp:coreProperties>
</file>