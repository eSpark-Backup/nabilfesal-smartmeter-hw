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S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<sst xmlns="http://schemas.openxmlformats.org/spreadsheetml/2006/main" count="241" uniqueCount="164">
  <si>
    <t>#</t>
  </si>
  <si>
    <t>Item Type</t>
  </si>
  <si>
    <t>Capacitor</t>
  </si>
  <si>
    <t>Capacitors</t>
  </si>
  <si>
    <t>Male Pin Header</t>
  </si>
  <si>
    <t>Male Header</t>
  </si>
  <si>
    <t>Wire to Board Connector</t>
  </si>
  <si>
    <t>Inductors</t>
  </si>
  <si>
    <t>LED</t>
  </si>
  <si>
    <t>Resistor</t>
  </si>
  <si>
    <t>Resistors</t>
  </si>
  <si>
    <t>Tactile Switch</t>
  </si>
  <si>
    <t>IC</t>
  </si>
  <si>
    <t>Module</t>
  </si>
  <si>
    <t>Designator</t>
  </si>
  <si>
    <t>C1, C2, C3, C9, C18, C24, C32, C34, C36, C38</t>
  </si>
  <si>
    <t>C4, C5, C6, C8, C12, C15, C16, C19, C20, C22, C23, C26, C27, C28, C29, C30, C31, C33, C35, C37, C39</t>
  </si>
  <si>
    <t>C7</t>
  </si>
  <si>
    <t>C10, C11</t>
  </si>
  <si>
    <t>C13, C14</t>
  </si>
  <si>
    <t>C17</t>
  </si>
  <si>
    <t>C21</t>
  </si>
  <si>
    <t>C25</t>
  </si>
  <si>
    <t>J1</t>
  </si>
  <si>
    <t>J2</t>
  </si>
  <si>
    <t>J3</t>
  </si>
  <si>
    <t>J4, J5, J6, J7, J8</t>
  </si>
  <si>
    <t>L1</t>
  </si>
  <si>
    <t>LED1, LED2, LED3, LED4</t>
  </si>
  <si>
    <t>LED5</t>
  </si>
  <si>
    <t>R1</t>
  </si>
  <si>
    <t>R2, R3, R6</t>
  </si>
  <si>
    <t>R4, R5, R21, R22, R23, R24, R25</t>
  </si>
  <si>
    <t>R7, R8, R9, R10, R19</t>
  </si>
  <si>
    <t>R11, R12, R17</t>
  </si>
  <si>
    <t>R13</t>
  </si>
  <si>
    <t>R14</t>
  </si>
  <si>
    <t>R15</t>
  </si>
  <si>
    <t>R16</t>
  </si>
  <si>
    <t>R18</t>
  </si>
  <si>
    <t>R20</t>
  </si>
  <si>
    <t>SW1, SW2</t>
  </si>
  <si>
    <t>U1</t>
  </si>
  <si>
    <t>U2</t>
  </si>
  <si>
    <t>U3</t>
  </si>
  <si>
    <t>U4</t>
  </si>
  <si>
    <t>U5</t>
  </si>
  <si>
    <t>U6, U7, U8</t>
  </si>
  <si>
    <t>Description</t>
  </si>
  <si>
    <t>CAP CER 10UF 10V X7R 0603</t>
  </si>
  <si>
    <t>CAP CER 0.1UF 50V X7R 0603</t>
  </si>
  <si>
    <t>CAP CER 1UF 50V X7R 0603</t>
  </si>
  <si>
    <t>CAP CER 10UF 50V X7R 1210</t>
  </si>
  <si>
    <t>CAP CER 22UF 10V X7R 0805</t>
  </si>
  <si>
    <t>CAP CER 0.033UF 50V X7R 0603</t>
  </si>
  <si>
    <t>CAP CER 100UF 6.3V X5R 1210</t>
  </si>
  <si>
    <t>CAP CER 4.7UF 10V X7R 0603</t>
  </si>
  <si>
    <t>Gold 250V 3A Policy 2.5mm 6P -40℃~+105℃ 2.54mm Double Row Black Brass 2x3P 2.54mm Plugin,P=2.54mm Pin Headers ROHS</t>
  </si>
  <si>
    <t>Gold 250V 3A Square Pins 2.5mm 8P 260℃ 6mm -40℃~+105℃ 3mm 2.54mm Plugin Black Brass 2.54mm 1x8P Plugin,P=2.54mm Pin Headers ROHS</t>
  </si>
  <si>
    <t>CONN HEADER VERT 8POS 2.5MM</t>
  </si>
  <si>
    <t>2x12P 24P 2 Tin 2.54mm 2.54mm 12 3A Brass Direct Insert Plugin,P=2.54mm Wire To Board Connector ROHS</t>
  </si>
  <si>
    <t>FIXED IND 6.8UH 4.5A 50.16 MOHM</t>
  </si>
  <si>
    <t>blue 0603 Light Emitting Diodes (LED) ROHS</t>
  </si>
  <si>
    <t>RED LED 0603 Light Emitting Diodes</t>
  </si>
  <si>
    <t>RES SMD 10K Ohm 1% 1/10W 0603</t>
  </si>
  <si>
    <t>RES SMD 1K OHM 1% 1/10W 0603</t>
  </si>
  <si>
    <t>RES SMD 4.7K OHM 1% 1/10W 0603</t>
  </si>
  <si>
    <t>RES SMD 680 OHM 1% 1/10W 0603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</si>
  <si>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</si>
  <si>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</si>
  <si>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</si>
  <si>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</si>
  <si>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</si>
  <si>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</si>
  <si>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100K OHM 1% 1/10W 0603</t>
  </si>
  <si>
    <t>Without bracket 50mA 4mm 100000 Times 12V 160gf 3mm 2mm Round Button Standing paste SPST SMD Tactile Switches ROHS</t>
  </si>
  <si>
    <t>IC MCU 32BIT 128KB FLASH 48QFN</t>
  </si>
  <si>
    <t>IC REG BUCK ADJ 3A SOT583</t>
  </si>
  <si>
    <t>TSOT-23-5 Linear Voltage Regulators (LDO) ROHS</t>
  </si>
  <si>
    <t>DGTL ISO 5000VRMS 4CH GP 16SOIC</t>
  </si>
  <si>
    <t>SIP-4 Isolated Power Modules ROHS</t>
  </si>
  <si>
    <t>Footprint</t>
  </si>
  <si>
    <t>Cap-0603</t>
  </si>
  <si>
    <t>Cap-1210</t>
  </si>
  <si>
    <t>Cap-0805</t>
  </si>
  <si>
    <t>X6521WV-2x03H-C60D30</t>
  </si>
  <si>
    <t>HDR 1x8 TH male</t>
  </si>
  <si>
    <t>B8B-XH-A(LF)(SN)</t>
  </si>
  <si>
    <t>X9555WV-2x12-6TV01</t>
  </si>
  <si>
    <t>ETQP3M6R8KVN</t>
  </si>
  <si>
    <t>LED-0603</t>
  </si>
  <si>
    <t>Res-0603</t>
  </si>
  <si>
    <t>TS-1088-AR02016</t>
  </si>
  <si>
    <t>48-QFN (7x7)</t>
  </si>
  <si>
    <t>SOT-583</t>
  </si>
  <si>
    <t>TSOT-23-5</t>
  </si>
  <si>
    <t>SOIC-16-300mil</t>
  </si>
  <si>
    <t>B0503S-2WR3</t>
  </si>
  <si>
    <t>Manufacturer Part Number</t>
  </si>
  <si>
    <t>GRM188Z71A106KA73D</t>
  </si>
  <si>
    <t>GCJ188R71H104KA12D</t>
  </si>
  <si>
    <t>CC0603KRX7R9BB105</t>
  </si>
  <si>
    <t>GRM32ER71H106KA12L</t>
  </si>
  <si>
    <t>GRM21BZ71A226ME15L</t>
  </si>
  <si>
    <t>GCJ188R71H333KA12D</t>
  </si>
  <si>
    <t>CC1210MKX5R5BB107</t>
  </si>
  <si>
    <t>GRM188Z71A475KE15D</t>
  </si>
  <si>
    <t>X6511WV-08H-C60D30</t>
  </si>
  <si>
    <t>ETQ-P3M6R8KVN</t>
  </si>
  <si>
    <t>NCD0603B3</t>
  </si>
  <si>
    <t>NCD0603R3</t>
  </si>
  <si>
    <t>RC0603FR-0710KL</t>
  </si>
  <si>
    <t>RC0603FR-071KL</t>
  </si>
  <si>
    <t>RC0603FR-074K7L</t>
  </si>
  <si>
    <t>RC0603FR-07680RL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</si>
  <si>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</si>
  <si>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</si>
  <si>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</si>
  <si>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</si>
  <si>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</si>
  <si>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</si>
  <si>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RC0603FR-07100KL</t>
  </si>
  <si>
    <t>ATSAMD20G17A-MU</t>
  </si>
  <si>
    <t>TPS62933DRLR</t>
  </si>
  <si>
    <t>RT9080-33GJ5</t>
  </si>
  <si>
    <t>ISO7741DWR</t>
  </si>
  <si>
    <t>ISO7740DWR</t>
  </si>
  <si>
    <t>Manufacturer</t>
  </si>
  <si>
    <t>Murata</t>
  </si>
  <si>
    <t>Yageo</t>
  </si>
  <si>
    <t>XKB</t>
  </si>
  <si>
    <t>JST</t>
  </si>
  <si>
    <t>XKB Connectivity</t>
  </si>
  <si>
    <t>Panasonic</t>
  </si>
  <si>
    <t>Foshan NationStar Optoelectronics</t>
  </si>
  <si>
    <t>XUNPU</t>
  </si>
  <si>
    <t>Microchip</t>
  </si>
  <si>
    <t>Texas Instruments</t>
  </si>
  <si>
    <t>Richtek Tech</t>
  </si>
  <si>
    <t>YLPTEC</t>
  </si>
  <si>
    <t>Comment</t>
  </si>
  <si>
    <t>10uF</t>
  </si>
  <si>
    <t>0.1uF</t>
  </si>
  <si>
    <t>1uF</t>
  </si>
  <si>
    <t>22uF</t>
  </si>
  <si>
    <t>33nF</t>
  </si>
  <si>
    <t>100uF</t>
  </si>
  <si>
    <t>4.7uF</t>
  </si>
  <si>
    <t>6.8uH</t>
  </si>
  <si>
    <t>Blue</t>
  </si>
  <si>
    <t>RED</t>
  </si>
  <si>
    <t>10K</t>
  </si>
  <si>
    <t>1K</t>
  </si>
  <si>
    <t>4.7K</t>
  </si>
  <si>
    <t>680R</t>
  </si>
  <si>
    <t>0R</t>
  </si>
  <si>
    <t>511K</t>
  </si>
  <si>
    <t>49.9R</t>
  </si>
  <si>
    <t>88.7K</t>
  </si>
  <si>
    <t>10.2K</t>
  </si>
  <si>
    <t>53.6K</t>
  </si>
  <si>
    <t>100K</t>
  </si>
  <si>
    <t>Quantity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</si>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</sst>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5"/>
  <sheetViews>
    <sheetView tabSelected="1" workbookViewId="0">
      <selection activeCell="F26" sqref="F2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48</v>
      </c>
      <c r="F2" s="5" t="s">
        <v>81</v>
      </c>
      <c r="G2" s="6" t="s">
        <v>98</v>
      </c>
      <c r="H2" s="5" t="s">
        <v>127</v>
      </c>
      <c r="I2" s="6" t="s">
        <v>140</v>
      </c>
      <c r="J2" s="5" t="s">
        <v>162</v>
      </c>
      <c r="K2" s="5" t="s">
        <v>163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49</v>
      </c>
      <c r="F3" s="7" t="s">
        <v>82</v>
      </c>
      <c r="G3" s="8" t="s">
        <v>99</v>
      </c>
      <c r="H3" s="7" t="s">
        <v>128</v>
      </c>
      <c r="I3" s="8" t="s">
        <v>141</v>
      </c>
      <c r="J3" s="7">
        <v>10</v>
      </c>
      <c r="K3" s="7"/>
    </row>
    <row r="4" spans="1:11" ht="24.75" thickBot="1" x14ac:dyDescent="0.3">
      <c r="A4" s="1"/>
      <c r="B4" s="11">
        <f t="shared" ref="B4:B35" si="0">ROW(B4) - ROW($B$2)</f>
        <v>2</v>
      </c>
      <c r="C4" s="13" t="s">
        <v>3</v>
      </c>
      <c r="D4" s="9" t="s">
        <v>16</v>
      </c>
      <c r="E4" s="10" t="s">
        <v>50</v>
      </c>
      <c r="F4" s="9" t="s">
        <v>82</v>
      </c>
      <c r="G4" s="10" t="s">
        <v>100</v>
      </c>
      <c r="H4" s="9" t="s">
        <v>128</v>
      </c>
      <c r="I4" s="10" t="s">
        <v>142</v>
      </c>
      <c r="J4" s="9">
        <v>21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17</v>
      </c>
      <c r="E5" s="8" t="s">
        <v>51</v>
      </c>
      <c r="F5" s="7" t="s">
        <v>82</v>
      </c>
      <c r="G5" s="8" t="s">
        <v>101</v>
      </c>
      <c r="H5" s="7" t="s">
        <v>129</v>
      </c>
      <c r="I5" s="8" t="s">
        <v>143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18</v>
      </c>
      <c r="E6" s="10" t="s">
        <v>52</v>
      </c>
      <c r="F6" s="9" t="s">
        <v>83</v>
      </c>
      <c r="G6" s="10" t="s">
        <v>102</v>
      </c>
      <c r="H6" s="9" t="s">
        <v>128</v>
      </c>
      <c r="I6" s="10" t="s">
        <v>141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19</v>
      </c>
      <c r="E7" s="8" t="s">
        <v>53</v>
      </c>
      <c r="F7" s="7" t="s">
        <v>84</v>
      </c>
      <c r="G7" s="8" t="s">
        <v>103</v>
      </c>
      <c r="H7" s="7" t="s">
        <v>128</v>
      </c>
      <c r="I7" s="8" t="s">
        <v>144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54</v>
      </c>
      <c r="F8" s="9" t="s">
        <v>82</v>
      </c>
      <c r="G8" s="10" t="s">
        <v>104</v>
      </c>
      <c r="H8" s="9" t="s">
        <v>128</v>
      </c>
      <c r="I8" s="10" t="s">
        <v>145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21</v>
      </c>
      <c r="E9" s="8" t="s">
        <v>55</v>
      </c>
      <c r="F9" s="7" t="s">
        <v>83</v>
      </c>
      <c r="G9" s="8" t="s">
        <v>105</v>
      </c>
      <c r="H9" s="7" t="s">
        <v>129</v>
      </c>
      <c r="I9" s="8" t="s">
        <v>146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22</v>
      </c>
      <c r="E10" s="10" t="s">
        <v>56</v>
      </c>
      <c r="F10" s="9" t="s">
        <v>82</v>
      </c>
      <c r="G10" s="10" t="s">
        <v>106</v>
      </c>
      <c r="H10" s="9" t="s">
        <v>128</v>
      </c>
      <c r="I10" s="10" t="s">
        <v>147</v>
      </c>
      <c r="J10" s="9">
        <v>1</v>
      </c>
      <c r="K10" s="9"/>
    </row>
    <row r="11" spans="1:11" ht="48.75" thickBot="1" x14ac:dyDescent="0.3">
      <c r="A11" s="1"/>
      <c r="B11" s="11">
        <f>ROW(B11) - ROW($B$2)</f>
        <v>9</v>
      </c>
      <c r="C11" s="12" t="s">
        <v>4</v>
      </c>
      <c r="D11" s="7" t="s">
        <v>23</v>
      </c>
      <c r="E11" s="8" t="s">
        <v>57</v>
      </c>
      <c r="F11" s="7" t="s">
        <v>85</v>
      </c>
      <c r="G11" s="8" t="s">
        <v>85</v>
      </c>
      <c r="H11" s="7" t="s">
        <v>130</v>
      </c>
      <c r="I11" s="8" t="s">
        <v>85</v>
      </c>
      <c r="J11" s="7">
        <v>1</v>
      </c>
      <c r="K11" s="7"/>
    </row>
    <row r="12" spans="1:11" ht="60.75" thickBot="1" x14ac:dyDescent="0.3">
      <c r="A12" s="1"/>
      <c r="B12" s="11">
        <f t="shared" si="0"/>
        <v>10</v>
      </c>
      <c r="C12" s="13" t="s">
        <v>5</v>
      </c>
      <c r="D12" s="9" t="s">
        <v>24</v>
      </c>
      <c r="E12" s="10" t="s">
        <v>58</v>
      </c>
      <c r="F12" s="9" t="s">
        <v>86</v>
      </c>
      <c r="G12" s="10" t="s">
        <v>107</v>
      </c>
      <c r="H12" s="9" t="s">
        <v>130</v>
      </c>
      <c r="I12" s="10" t="s">
        <v>107</v>
      </c>
      <c r="J12" s="9">
        <v>1</v>
      </c>
      <c r="K12" s="9"/>
    </row>
    <row r="13" spans="1:11" ht="26.25" thickBot="1" x14ac:dyDescent="0.3">
      <c r="A13" s="1"/>
      <c r="B13" s="11">
        <f>ROW(B13) - ROW($B$2)</f>
        <v>11</v>
      </c>
      <c r="C13" s="12" t="s">
        <v>6</v>
      </c>
      <c r="D13" s="7" t="s">
        <v>25</v>
      </c>
      <c r="E13" s="8" t="s">
        <v>59</v>
      </c>
      <c r="F13" s="7" t="s">
        <v>87</v>
      </c>
      <c r="G13" s="8" t="s">
        <v>87</v>
      </c>
      <c r="H13" s="7" t="s">
        <v>131</v>
      </c>
      <c r="I13" s="8" t="s">
        <v>87</v>
      </c>
      <c r="J13" s="7">
        <v>1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6</v>
      </c>
      <c r="D14" s="9" t="s">
        <v>26</v>
      </c>
      <c r="E14" s="10" t="s">
        <v>60</v>
      </c>
      <c r="F14" s="9" t="s">
        <v>88</v>
      </c>
      <c r="G14" s="10" t="s">
        <v>88</v>
      </c>
      <c r="H14" s="9" t="s">
        <v>132</v>
      </c>
      <c r="I14" s="10" t="s">
        <v>88</v>
      </c>
      <c r="J14" s="9">
        <v>5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7</v>
      </c>
      <c r="D15" s="7" t="s">
        <v>27</v>
      </c>
      <c r="E15" s="8" t="s">
        <v>61</v>
      </c>
      <c r="F15" s="7" t="s">
        <v>89</v>
      </c>
      <c r="G15" s="8" t="s">
        <v>108</v>
      </c>
      <c r="H15" s="7" t="s">
        <v>133</v>
      </c>
      <c r="I15" s="8" t="s">
        <v>148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8</v>
      </c>
      <c r="D16" s="9" t="s">
        <v>28</v>
      </c>
      <c r="E16" s="10" t="s">
        <v>62</v>
      </c>
      <c r="F16" s="9" t="s">
        <v>90</v>
      </c>
      <c r="G16" s="10" t="s">
        <v>109</v>
      </c>
      <c r="H16" s="9" t="s">
        <v>134</v>
      </c>
      <c r="I16" s="10" t="s">
        <v>149</v>
      </c>
      <c r="J16" s="9">
        <v>4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8</v>
      </c>
      <c r="D17" s="7" t="s">
        <v>29</v>
      </c>
      <c r="E17" s="8" t="s">
        <v>63</v>
      </c>
      <c r="F17" s="7" t="s">
        <v>90</v>
      </c>
      <c r="G17" s="8" t="s">
        <v>110</v>
      </c>
      <c r="H17" s="7" t="s">
        <v>134</v>
      </c>
      <c r="I17" s="8" t="s">
        <v>150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9</v>
      </c>
      <c r="D18" s="9" t="s">
        <v>30</v>
      </c>
      <c r="E18" s="10" t="s">
        <v>64</v>
      </c>
      <c r="F18" s="9" t="s">
        <v>91</v>
      </c>
      <c r="G18" s="10" t="s">
        <v>111</v>
      </c>
      <c r="H18" s="9" t="s">
        <v>129</v>
      </c>
      <c r="I18" s="10" t="s">
        <v>151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65</v>
      </c>
      <c r="F19" s="7" t="s">
        <v>91</v>
      </c>
      <c r="G19" s="8" t="s">
        <v>112</v>
      </c>
      <c r="H19" s="7" t="s">
        <v>129</v>
      </c>
      <c r="I19" s="8" t="s">
        <v>152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66</v>
      </c>
      <c r="F20" s="9" t="s">
        <v>91</v>
      </c>
      <c r="G20" s="10" t="s">
        <v>113</v>
      </c>
      <c r="H20" s="9" t="s">
        <v>129</v>
      </c>
      <c r="I20" s="10" t="s">
        <v>153</v>
      </c>
      <c r="J20" s="9">
        <v>7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33</v>
      </c>
      <c r="E21" s="8" t="s">
        <v>67</v>
      </c>
      <c r="F21" s="7" t="s">
        <v>91</v>
      </c>
      <c r="G21" s="8" t="s">
        <v>114</v>
      </c>
      <c r="H21" s="7" t="s">
        <v>129</v>
      </c>
      <c r="I21" s="8" t="s">
        <v>154</v>
      </c>
      <c r="J21" s="7">
        <v>5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9</v>
      </c>
      <c r="D22" s="9" t="s">
        <v>34</v>
      </c>
      <c r="E22" s="10" t="s">
        <v>68</v>
      </c>
      <c r="F22" s="9" t="s">
        <v>91</v>
      </c>
      <c r="G22" s="10" t="s">
        <v>115</v>
      </c>
      <c r="H22" s="9" t="s">
        <v>129</v>
      </c>
      <c r="I22" s="10" t="s">
        <v>155</v>
      </c>
      <c r="J22" s="9">
        <v>3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10</v>
      </c>
      <c r="D23" s="7" t="s">
        <v>35</v>
      </c>
      <c r="E23" s="8" t="s">
        <v>69</v>
      </c>
      <c r="F23" s="7" t="s">
        <v>91</v>
      </c>
      <c r="G23" s="8" t="s">
        <v>116</v>
      </c>
      <c r="H23" s="7" t="s">
        <v>129</v>
      </c>
      <c r="I23" s="8" t="s">
        <v>156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9</v>
      </c>
      <c r="D24" s="9" t="s">
        <v>36</v>
      </c>
      <c r="E24" s="10" t="s">
        <v>70</v>
      </c>
      <c r="F24" s="9" t="s">
        <v>91</v>
      </c>
      <c r="G24" s="10" t="s">
        <v>117</v>
      </c>
      <c r="H24" s="9" t="s">
        <v>129</v>
      </c>
      <c r="I24" s="10" t="s">
        <v>157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10</v>
      </c>
      <c r="D25" s="7" t="s">
        <v>37</v>
      </c>
      <c r="E25" s="8" t="s">
        <v>71</v>
      </c>
      <c r="F25" s="7" t="s">
        <v>91</v>
      </c>
      <c r="G25" s="8" t="s">
        <v>118</v>
      </c>
      <c r="H25" s="7" t="s">
        <v>129</v>
      </c>
      <c r="I25" s="8" t="s">
        <v>158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10</v>
      </c>
      <c r="D26" s="9" t="s">
        <v>38</v>
      </c>
      <c r="E26" s="10" t="s">
        <v>72</v>
      </c>
      <c r="F26" s="9" t="s">
        <v>91</v>
      </c>
      <c r="G26" s="10" t="s">
        <v>119</v>
      </c>
      <c r="H26" s="9" t="s">
        <v>129</v>
      </c>
      <c r="I26" s="10" t="s">
        <v>159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10</v>
      </c>
      <c r="D27" s="7" t="s">
        <v>39</v>
      </c>
      <c r="E27" s="8" t="s">
        <v>73</v>
      </c>
      <c r="F27" s="7" t="s">
        <v>91</v>
      </c>
      <c r="G27" s="8" t="s">
        <v>120</v>
      </c>
      <c r="H27" s="7" t="s">
        <v>129</v>
      </c>
      <c r="I27" s="8" t="s">
        <v>160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10</v>
      </c>
      <c r="D28" s="9" t="s">
        <v>40</v>
      </c>
      <c r="E28" s="10" t="s">
        <v>74</v>
      </c>
      <c r="F28" s="9" t="s">
        <v>91</v>
      </c>
      <c r="G28" s="10" t="s">
        <v>121</v>
      </c>
      <c r="H28" s="9" t="s">
        <v>129</v>
      </c>
      <c r="I28" s="10" t="s">
        <v>161</v>
      </c>
      <c r="J28" s="9">
        <v>1</v>
      </c>
      <c r="K28" s="9"/>
    </row>
    <row r="29" spans="1:11" ht="48.75" thickBot="1" x14ac:dyDescent="0.3">
      <c r="A29" s="1"/>
      <c r="B29" s="11">
        <f>ROW(B29) - ROW($B$2)</f>
        <v>27</v>
      </c>
      <c r="C29" s="12" t="s">
        <v>11</v>
      </c>
      <c r="D29" s="7" t="s">
        <v>41</v>
      </c>
      <c r="E29" s="8" t="s">
        <v>75</v>
      </c>
      <c r="F29" s="7" t="s">
        <v>92</v>
      </c>
      <c r="G29" s="8" t="s">
        <v>92</v>
      </c>
      <c r="H29" s="7" t="s">
        <v>135</v>
      </c>
      <c r="I29" s="8" t="s">
        <v>92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12</v>
      </c>
      <c r="D30" s="9" t="s">
        <v>42</v>
      </c>
      <c r="E30" s="10" t="s">
        <v>76</v>
      </c>
      <c r="F30" s="9" t="s">
        <v>93</v>
      </c>
      <c r="G30" s="10" t="s">
        <v>122</v>
      </c>
      <c r="H30" s="9" t="s">
        <v>136</v>
      </c>
      <c r="I30" s="10" t="s">
        <v>122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12</v>
      </c>
      <c r="D31" s="7" t="s">
        <v>43</v>
      </c>
      <c r="E31" s="8" t="s">
        <v>77</v>
      </c>
      <c r="F31" s="7" t="s">
        <v>94</v>
      </c>
      <c r="G31" s="8" t="s">
        <v>123</v>
      </c>
      <c r="H31" s="7" t="s">
        <v>137</v>
      </c>
      <c r="I31" s="8" t="s">
        <v>123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12</v>
      </c>
      <c r="D32" s="9" t="s">
        <v>44</v>
      </c>
      <c r="E32" s="10" t="s">
        <v>78</v>
      </c>
      <c r="F32" s="9" t="s">
        <v>95</v>
      </c>
      <c r="G32" s="10" t="s">
        <v>124</v>
      </c>
      <c r="H32" s="9" t="s">
        <v>138</v>
      </c>
      <c r="I32" s="10" t="s">
        <v>124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12</v>
      </c>
      <c r="D33" s="7" t="s">
        <v>45</v>
      </c>
      <c r="E33" s="8" t="s">
        <v>79</v>
      </c>
      <c r="F33" s="7" t="s">
        <v>96</v>
      </c>
      <c r="G33" s="8" t="s">
        <v>125</v>
      </c>
      <c r="H33" s="7" t="s">
        <v>137</v>
      </c>
      <c r="I33" s="8" t="s">
        <v>125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13</v>
      </c>
      <c r="D34" s="9" t="s">
        <v>46</v>
      </c>
      <c r="E34" s="10" t="s">
        <v>80</v>
      </c>
      <c r="F34" s="9" t="s">
        <v>97</v>
      </c>
      <c r="G34" s="10" t="s">
        <v>97</v>
      </c>
      <c r="H34" s="9" t="s">
        <v>139</v>
      </c>
      <c r="I34" s="10" t="s">
        <v>97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12</v>
      </c>
      <c r="D35" s="7" t="s">
        <v>47</v>
      </c>
      <c r="E35" s="8" t="s">
        <v>79</v>
      </c>
      <c r="F35" s="7" t="s">
        <v>96</v>
      </c>
      <c r="G35" s="8" t="s">
        <v>126</v>
      </c>
      <c r="H35" s="7" t="s">
        <v>137</v>
      </c>
      <c r="I35" s="8" t="s">
        <v>126</v>
      </c>
      <c r="J35" s="7">
        <v>3</v>
      </c>
      <c r="K35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2025-02-26T09:00:43Z</dcterms:modified>
</cp:coreProperties>
</file>