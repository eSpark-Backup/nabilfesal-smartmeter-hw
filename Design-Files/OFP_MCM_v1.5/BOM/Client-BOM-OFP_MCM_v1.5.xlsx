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35" i="1" l="1"/>
  <c r="B134" i="1" l="1"/>
  <c r="B133" i="1"/>
  <c r="B132" i="1"/>
  <c r="B131" i="1" l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<sst xmlns="http://schemas.openxmlformats.org/spreadsheetml/2006/main" count="951" uniqueCount="561">
  <si>
    <t>#</t>
  </si>
  <si>
    <t>Item Type</t>
  </si>
  <si>
    <t>Capacitors</t>
  </si>
  <si>
    <t>Capacitor</t>
  </si>
  <si>
    <t>Super Capaciitor</t>
  </si>
  <si>
    <t>(TVS/ESD)</t>
  </si>
  <si>
    <t>Diode</t>
  </si>
  <si>
    <t>Ferrite Bead</t>
  </si>
  <si>
    <t>FFC/FPC Cable</t>
  </si>
  <si>
    <t>USB Micro B</t>
  </si>
  <si>
    <t>FFC / FPC Connector</t>
  </si>
  <si>
    <t>RF / Coaxial Connectors</t>
  </si>
  <si>
    <t>Wire to Board Connector</t>
  </si>
  <si>
    <t>Inductors</t>
  </si>
  <si>
    <t>Inductor</t>
  </si>
  <si>
    <t>LED</t>
  </si>
  <si>
    <t>Buzzers</t>
  </si>
  <si>
    <t>Mosfet</t>
  </si>
  <si>
    <t>Resistor</t>
  </si>
  <si>
    <t>Resistors</t>
  </si>
  <si>
    <t>Switches</t>
  </si>
  <si>
    <t>Tactile Switch</t>
  </si>
  <si>
    <t>IC</t>
  </si>
  <si>
    <t>Crytal</t>
  </si>
  <si>
    <t>Crystals</t>
  </si>
  <si>
    <t>Crystal</t>
  </si>
  <si>
    <t>Designator</t>
  </si>
  <si>
    <t>C1, C2, C5, C6</t>
  </si>
  <si>
    <t>C3, C17, C22, C23, C34, C38, C42, C45, C87, C88</t>
  </si>
  <si>
    <t>C8</t>
  </si>
  <si>
    <t>C9, C49, C52, C53, C59, C75, C80, C83, C101, C106, C139, C140</t>
  </si>
  <si>
    <t>C10</t>
  </si>
  <si>
    <t>C21, C25</t>
  </si>
  <si>
    <t>C26</t>
  </si>
  <si>
    <t>C32, C112, C115, C118, C121, C125, C128, C131, C134</t>
  </si>
  <si>
    <t>C47, C48, C78, C79, C89, C90, C91, C92, C104</t>
  </si>
  <si>
    <t>C50, C51</t>
  </si>
  <si>
    <t>C54, C65, C72</t>
  </si>
  <si>
    <t>C55</t>
  </si>
  <si>
    <t>C56</t>
  </si>
  <si>
    <t>C60, C61, C67, C68, C76, C77, C81, C82</t>
  </si>
  <si>
    <t>C62, C66, C69, C73, C85</t>
  </si>
  <si>
    <t>C63</t>
  </si>
  <si>
    <t>C64, C98, C99</t>
  </si>
  <si>
    <t>C70, C86</t>
  </si>
  <si>
    <t>C71, C74, C84</t>
  </si>
  <si>
    <t>C96</t>
  </si>
  <si>
    <t>C100, C105</t>
  </si>
  <si>
    <t>C102, C107</t>
  </si>
  <si>
    <t>C103, C108</t>
  </si>
  <si>
    <t>C109, C110</t>
  </si>
  <si>
    <t>C113, C116, C119, C122, C126, C129, C132, C135</t>
  </si>
  <si>
    <t>C123</t>
  </si>
  <si>
    <t>C136</t>
  </si>
  <si>
    <t>C137, C138, C141, C142, C144, C145, C146</t>
  </si>
  <si>
    <t>C143</t>
  </si>
  <si>
    <t>D1, D2, D3, D4, D5, D6, D7, D8, D10</t>
  </si>
  <si>
    <t>D9</t>
  </si>
  <si>
    <t>D11</t>
  </si>
  <si>
    <t>FB1, FB2</t>
  </si>
  <si>
    <t>J1</t>
  </si>
  <si>
    <t>J2</t>
  </si>
  <si>
    <t>J3</t>
  </si>
  <si>
    <t>J4</t>
  </si>
  <si>
    <t>J5, J6</t>
  </si>
  <si>
    <t>J8</t>
  </si>
  <si>
    <t>J10</t>
  </si>
  <si>
    <t>L1</t>
  </si>
  <si>
    <t>L2, L3, L4</t>
  </si>
  <si>
    <t>L5</t>
  </si>
  <si>
    <t>L6</t>
  </si>
  <si>
    <t>L7</t>
  </si>
  <si>
    <t>LED1</t>
  </si>
  <si>
    <t>LED6, LED11</t>
  </si>
  <si>
    <t>LED7</t>
  </si>
  <si>
    <t>LED10</t>
  </si>
  <si>
    <t>LS1</t>
  </si>
  <si>
    <t>Q1</t>
  </si>
  <si>
    <t>Q2, Q3, Q4, Q5, Q6, Q7</t>
  </si>
  <si>
    <t>R1, R2, R3, R4, R5, R6, 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</si>
  <si>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</si>
  <si>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</si>
  <si>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</si>
  <si>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</si>
  <si>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</si>
  <si>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</si>
  <si>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</si>
  <si>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</si>
  <si>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</si>
  <si>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</si>
  <si>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R20</t>
  </si>
  <si>
    <t>R21, R22, R23, R24, R25, R26, R28, R32, R33, R34, R35, R36, R37, R38, R96, R101, R109, R117, R118</t>
  </si>
  <si>
    <t>R27, R29</t>
  </si>
  <si>
    <t>R30</t>
  </si>
  <si>
    <t>R31</t>
  </si>
  <si>
    <t>R39, R42, R45, R52, R55, R57, R58, R83, R84, R104</t>
  </si>
  <si>
    <t>R40</t>
  </si>
  <si>
    <t>R41</t>
  </si>
  <si>
    <t>R43</t>
  </si>
  <si>
    <t>R44</t>
  </si>
  <si>
    <t>R46</t>
  </si>
  <si>
    <t>R47, R48, R54, R60, R63, R85, R89, R100</t>
  </si>
  <si>
    <t>R49, R59, R62, R73</t>
  </si>
  <si>
    <t>R50, R51, R70, R71, R72</t>
  </si>
  <si>
    <t>R53</t>
  </si>
  <si>
    <t>R56, R65</t>
  </si>
  <si>
    <t>R61</t>
  </si>
  <si>
    <t>R64</t>
  </si>
  <si>
    <t>R66</t>
  </si>
  <si>
    <t>R67</t>
  </si>
  <si>
    <t>R68</t>
  </si>
  <si>
    <t>R69</t>
  </si>
  <si>
    <t>R74, R75, R76</t>
  </si>
  <si>
    <t>R77, R97, R98, R114, R120, R121</t>
  </si>
  <si>
    <t>R78</t>
  </si>
  <si>
    <t>R79</t>
  </si>
  <si>
    <t>R80</t>
  </si>
  <si>
    <t>R81, R86</t>
  </si>
  <si>
    <t>R82, R110</t>
  </si>
  <si>
    <t>R87</t>
  </si>
  <si>
    <t>R88</t>
  </si>
  <si>
    <t>R93</t>
  </si>
  <si>
    <t>R95</t>
  </si>
  <si>
    <t>R99</t>
  </si>
  <si>
    <t>R102</t>
  </si>
  <si>
    <t>R103</t>
  </si>
  <si>
    <t>R105, R106, R107, R108</t>
  </si>
  <si>
    <t>R111</t>
  </si>
  <si>
    <t>R112</t>
  </si>
  <si>
    <t>R113, R119</t>
  </si>
  <si>
    <t>R122</t>
  </si>
  <si>
    <t>SW1</t>
  </si>
  <si>
    <t>SW2</t>
  </si>
  <si>
    <t>SW3, SW4, SW5, 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</si>
  <si>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</si>
  <si>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</si>
  <si>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</si>
  <si>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</si>
  <si>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</si>
  <si>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</si>
  <si>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</si>
  <si>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</si>
  <si>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</si>
  <si>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</si>
  <si>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</si>
  <si>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</si>
  <si>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</si>
  <si>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</si>
  <si>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</si>
  <si>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X1</t>
  </si>
  <si>
    <t>X2, X3</t>
  </si>
  <si>
    <t>X4</t>
  </si>
  <si>
    <t>Description</t>
  </si>
  <si>
    <t>CAP CER 15PF 50V C0G/NP0 0402</t>
  </si>
  <si>
    <t>CAP CER 1UF 6.3V X7R 0402</t>
  </si>
  <si>
    <t>CAP CER 10UF 10V X7R 0603</t>
  </si>
  <si>
    <t>CAP CER 0.1UF 25V X7R 0402</t>
  </si>
  <si>
    <t>0.47F -20%~+80% 5.5V</t>
  </si>
  <si>
    <t>CAP CER 0.1UF 50V X7R 0603</t>
  </si>
  <si>
    <t>CAP CER 12PF 100V C0G/NP0 0603</t>
  </si>
  <si>
    <t>CAP CER 4.7UF 16V X5R 0402</t>
  </si>
  <si>
    <t>CAP CER 1000PF 50V C0G/NP0 0402</t>
  </si>
  <si>
    <t>CAP CER 10000PF 50V X7R 0402</t>
  </si>
  <si>
    <t>CAP CER 10UF 50V X7R 1210</t>
  </si>
  <si>
    <t>CAP CER 22UF 10V X7R 0805</t>
  </si>
  <si>
    <t>CAP CER 0.047UF 50V X7R 0603</t>
  </si>
  <si>
    <t>CAP CER 82PF 50V C0G/NPO 0603</t>
  </si>
  <si>
    <t>CAP CER 0.033UF 50V X7R 0603</t>
  </si>
  <si>
    <t>CAP CER 22UF 6.3V X7R 0805</t>
  </si>
  <si>
    <t>CAP CER 22PF 100V C0G/NP0 0603</t>
  </si>
  <si>
    <t>CAP CER 3300PF 50V C0G/NP0 0603</t>
  </si>
  <si>
    <t>CAP CER 1UF 50V X7R 0603</t>
  </si>
  <si>
    <t>CAP CER 2200PF 50V C0G/NP0 0603</t>
  </si>
  <si>
    <t>CAP CER 10000PF 50V C0G/NP0 0603</t>
  </si>
  <si>
    <t>CAP CER 2.2UF 16V X7R 0603</t>
  </si>
  <si>
    <t>CAP TANT 100UF 20% 6V 1206</t>
  </si>
  <si>
    <t>CAP CER 33PF 100V C0G/NP0 0603</t>
  </si>
  <si>
    <t>CAP CER 10PF 50V C0G/NPO 0603</t>
  </si>
  <si>
    <t>CAP 30pF NP0 0603 50 V ±5 % SMD</t>
  </si>
  <si>
    <t>CAP CER 1000PF 25V X7R 0402</t>
  </si>
  <si>
    <t>CAP CER 1UF 25V X5R 0402</t>
  </si>
  <si>
    <t>CAP CER 10UF 10V X5R 0402</t>
  </si>
  <si>
    <t>CAP CER 33PF 25V C0G/NP0 0402</t>
  </si>
  <si>
    <t>5A 60W 12V 3.6V 3.3V SOD-523 ESD and Surge Protection (TVS/ESD) ROHS</t>
  </si>
  <si>
    <t>DIODE GEN PURP 75V 200MA SOD523F</t>
  </si>
  <si>
    <t>DIODE SCHOTTKY 40V 1A SOD123</t>
  </si>
  <si>
    <t>FERRITE BEAD 220 OHM 0603 1LN</t>
  </si>
  <si>
    <t>1.10mm Pitch microSD Memory Card Connector, Reverse Mount SMT, Push-Push Type</t>
  </si>
  <si>
    <t>Flip type 10P Bottom Contact Horizontal attachment 0.5mm SMD,P=0.5mm FFC, FPC (Flat Flexible) Connector Assemblies ROHS</t>
  </si>
  <si>
    <t>1A USB 2.0 1 Direct Insert 5P Female Micro-B Plugin USB Connectors ROHS</t>
  </si>
  <si>
    <t>CONN FFC FPC 40POS 0.5MM R/A</t>
  </si>
  <si>
    <t>CONN U.FL RCPT STR 50 OHM SMD</t>
  </si>
  <si>
    <t>CONN HEADER VERT 8POS 2.5MM</t>
  </si>
  <si>
    <t>FIXED IND 6.8UH 4.5A 50.16 MOHM</t>
  </si>
  <si>
    <t>2.9A 4.7uH ±20% 2.9A SMD,4x4mm Power Inductors ROHS</t>
  </si>
  <si>
    <t>FIXED IND 4.7UH 1.9A 84 MOHM SMD</t>
  </si>
  <si>
    <t>590mA 22uH ±20% SMD,4x4x1.8mm Power Inductors ROHS</t>
  </si>
  <si>
    <t>FIXED IND 47NH 400MA 0.7OHM SMD</t>
  </si>
  <si>
    <t>D=5mm LED Indication - Discrete ROHS</t>
  </si>
  <si>
    <t>RED LED 0603 Light Emitting Diodes</t>
  </si>
  <si>
    <t>333-2 Series Yellow Green 5 x 5.9 x 8.6 mm 30° 80 mcd Diffused 2.4 V LED</t>
  </si>
  <si>
    <t>LED YELLOW DIFFUSED 5MM T/H</t>
  </si>
  <si>
    <t>yellow 0603 Light Emitting Diodes (LED) ROHS</t>
  </si>
  <si>
    <t>80dB Passive (external drive) Electromagnetic Type 4kHz SMD,5x5mm Buzzers ROHS</t>
  </si>
  <si>
    <t>TRANS NPN 40V 0.6A SMD SOT23-3</t>
  </si>
  <si>
    <t>TRANS PREBIAS NPN 50V 0.1A EMT3</t>
  </si>
  <si>
    <t>RES 47K OHM 1% 1/16W 0402</t>
  </si>
  <si>
    <t>RES 3.3 OHM 1% 1/16W 0402</t>
  </si>
  <si>
    <t>RES 5.6K OHM 1% 1/16W 0402</t>
  </si>
  <si>
    <t>RES 10K OHM 1% 1/16W 0402</t>
  </si>
  <si>
    <t>RES SMD 11K OHM 0.1% 1/16W 0402</t>
  </si>
  <si>
    <t>RES 120 OHM 1% 1/10W 0603</t>
  </si>
  <si>
    <t>RES SMD 6.8K OHM 0.1% 1/16W 0402</t>
  </si>
  <si>
    <t>RES SMD 8.2K OHM 0.1% 1/16W 0402</t>
  </si>
  <si>
    <t>RES SMD 10K OHM 0.1% 1/16W 0402</t>
  </si>
  <si>
    <t>RES SMD 100K OHM 0.1% 1/16W 0402</t>
  </si>
  <si>
    <t>RES 1K OHM 1% 1/16W 0402</t>
  </si>
  <si>
    <t>RES 4.7K OHM 1% 1/16W 0402</t>
  </si>
  <si>
    <t>RES 5.1K OHM 1% 1/10W 0603</t>
  </si>
  <si>
    <t>RES 0 OHM JUMPER 1/16W 0402</t>
  </si>
  <si>
    <t>RES 2K OHM 1% 1/16W 0402</t>
  </si>
  <si>
    <t>RES 240 OHM 1% 1/16W 0402</t>
  </si>
  <si>
    <t>RES 200K OHM 1% 1/16W 0402</t>
  </si>
  <si>
    <t>RES SMD 0R, 1%, 0.1W, 0603</t>
  </si>
  <si>
    <t>RES SMD 511K OHM 0.1% 1/10W 0603</t>
  </si>
  <si>
    <t>RES 49.9 OHM 1% 1/10W 0603</t>
  </si>
  <si>
    <t>RES SMD 88.7KOHM 0.1% 1/10W 0603</t>
  </si>
  <si>
    <t>RES SMD 10.2KOHM 0.1% 1/10W 0603</t>
  </si>
  <si>
    <t>RES SMD 53.6KOHM 0.1% 1/10W 0603</t>
  </si>
  <si>
    <t>RES SMD 10K Ohm 1% 1/10W 0603</t>
  </si>
  <si>
    <t>RES 20K OHM 1% 1/10W 0603</t>
  </si>
  <si>
    <t>RES 100K OHM 1% 1/10W 0603</t>
  </si>
  <si>
    <t>RES 45.3K OHM 1% 1/10W 0603</t>
  </si>
  <si>
    <t>RES 30K OHM 1% 1/10W 0603</t>
  </si>
  <si>
    <t>RES SMD 51R 100mW 0603</t>
  </si>
  <si>
    <t>RES SMD 73.2KOHM 0.1% 1/10W 0603</t>
  </si>
  <si>
    <t>RES 37.4K OHM 1% 1/10W 0603</t>
  </si>
  <si>
    <t>RES 1.87K OHM 1% 1/16W 0402</t>
  </si>
  <si>
    <t>RES 4.99K OHM 1% 1/16W 0402</t>
  </si>
  <si>
    <t>RES 140K OHM 1% 1/10W 0603</t>
  </si>
  <si>
    <t>RES 51K OHM 1% 1/10W 0603</t>
  </si>
  <si>
    <t>RES SMD 680 OHM 1% 1/10W 0603</t>
  </si>
  <si>
    <t>RES 820 OHM 1% 1/10W 0603</t>
  </si>
  <si>
    <t>RES 499 OHM 1% 1/10W 0603</t>
  </si>
  <si>
    <t>RES SMD 100 OHM 1% 1/10W 0603</t>
  </si>
  <si>
    <t>RES SMD 10 OHM 1% 1/10W 0603</t>
  </si>
  <si>
    <t>63mW Thin Film Resistor ±50ppm/℃ ±0.1% 9.53kΩ 0402 Chip Resistor - Surface Mount ROHS</t>
  </si>
  <si>
    <t>RES 90.9K OHM 1% 1/10W 0603</t>
  </si>
  <si>
    <t>RES SMD 1M OHM 1% 1/10W 0603</t>
  </si>
  <si>
    <t>RES SMD 1K OHM 1% 1/10W 0603</t>
  </si>
  <si>
    <t>RES 47K OHM 1% 1/10W 0603</t>
  </si>
  <si>
    <t>RES 22 OHM 1% 1/10W 0603</t>
  </si>
  <si>
    <t>RES SMD 4.7K OHM 1% 1/10W 0603</t>
  </si>
  <si>
    <t>RES SMD 10M Ohm 5% 1/16W 0402</t>
  </si>
  <si>
    <t>SWITCH TACTILE SPST-NO 0.05A 24V</t>
  </si>
  <si>
    <t>Without bracket 50mA 4mm 100000 Times 12V 160gf 3mm 2mm Round Button Standing paste SPST SMD Tactile Switches ROHS</t>
  </si>
  <si>
    <t>6mm 12mm Round Button 50mA Standing paste 6mm SPST 12V SMD,6x6mm Tactile Switches ROHS</t>
  </si>
  <si>
    <t>LQFP-128-EP(14x14) Microcontrollers (MCU/MPU/SOC) ROHS</t>
  </si>
  <si>
    <t>IC FLASH 128MBIT SPI/QUAD 8WSON</t>
  </si>
  <si>
    <t>IC RTC CLOCK/CALENDAR I2C 8SO</t>
  </si>
  <si>
    <t>2Mbps Transceiver USB 2.0 SOP-16 USB ICs ROHS</t>
  </si>
  <si>
    <t>IC REG BUCK ADJ 3A SOT583</t>
  </si>
  <si>
    <t>IC REG BCK ADJ 3A/2A TRPL 32VQFN</t>
  </si>
  <si>
    <t>IC REG BUCK ADJ 3A SOT563</t>
  </si>
  <si>
    <t>IC REG LIN POS ADJ 1.5A 20VQFN</t>
  </si>
  <si>
    <t>IC REG LINEAR 3V 200MA SOT23</t>
  </si>
  <si>
    <t>IC REG LINEAR 3.3V 1.5A SOT223-6</t>
  </si>
  <si>
    <t>MSOP-10 Touch Screen Controllers ROHS</t>
  </si>
  <si>
    <t>IC LED DRVR RGLTR PWM 30MA 6WSON</t>
  </si>
  <si>
    <t>IC USB 2.0 2PORT HUB IND 48HTQFP</t>
  </si>
  <si>
    <t>RF TXRX MOD CELLULARCARD EDGE</t>
  </si>
  <si>
    <t>IC TRANSLATOR BIDIR 20TSSOP</t>
  </si>
  <si>
    <t>24MHz Surface Mount Crystal 12pF ±10ppm ±10ppm SMD3225-4P Crystals ROHS</t>
  </si>
  <si>
    <t>CRYSTAL 32.7680KHZ 12.5PF SMD</t>
  </si>
  <si>
    <t>24MHz Surface Mount Crystal 20pF ±10ppm ±20ppm SMD5032-4P Crystals ROHS</t>
  </si>
  <si>
    <t>Footprint</t>
  </si>
  <si>
    <t>Cap-0402</t>
  </si>
  <si>
    <t>Cap-0603</t>
  </si>
  <si>
    <t>SC EB 5R5 474 M</t>
  </si>
  <si>
    <t>Cap-1210</t>
  </si>
  <si>
    <t>Cap-0805</t>
  </si>
  <si>
    <t>Case-A</t>
  </si>
  <si>
    <t>SOD-523 (Bi-Directional)</t>
  </si>
  <si>
    <t>SOD-523F</t>
  </si>
  <si>
    <t>SOD-123</t>
  </si>
  <si>
    <t>IND-0603 (1608 Metric)</t>
  </si>
  <si>
    <t>HX0.5-10P XJH2.0 043</t>
  </si>
  <si>
    <t>U-D-M5DD-Y-3</t>
  </si>
  <si>
    <t>FH34SRJ-40S-0.5SH(50)</t>
  </si>
  <si>
    <t>U.FL-R-SMT(10)</t>
  </si>
  <si>
    <t>B8B-XH-A(LF)(SN)</t>
  </si>
  <si>
    <t>SMNR4030-4R7MT</t>
  </si>
  <si>
    <t>SRN4018-4R7M</t>
  </si>
  <si>
    <t>YNR4018-220M</t>
  </si>
  <si>
    <t>TH LED 5mm_</t>
  </si>
  <si>
    <t>LED-0603</t>
  </si>
  <si>
    <t>TH LED 5mm Green</t>
  </si>
  <si>
    <t>TH LED 5mm Yellow</t>
  </si>
  <si>
    <t>FUET-5025</t>
  </si>
  <si>
    <t>SOT-23</t>
  </si>
  <si>
    <t>SOT-416</t>
  </si>
  <si>
    <t>Res-0402</t>
  </si>
  <si>
    <t>Res-0603</t>
  </si>
  <si>
    <t>FSM6JSMATR</t>
  </si>
  <si>
    <t>TS-1088-AR02016</t>
  </si>
  <si>
    <t>TS-1002S-12026C</t>
  </si>
  <si>
    <t>LQFP-128-EP(14x14)</t>
  </si>
  <si>
    <t>WSON-8-EP(6x8)</t>
  </si>
  <si>
    <t>SOIC-8(0.154", 3.90mm Width)</t>
  </si>
  <si>
    <t>SOP-16</t>
  </si>
  <si>
    <t>SOT-583</t>
  </si>
  <si>
    <t>32-QFN (5x5)</t>
  </si>
  <si>
    <t>SOT-563</t>
  </si>
  <si>
    <t>20-VQFN (5x5)</t>
  </si>
  <si>
    <t>SOT-223-6_</t>
  </si>
  <si>
    <t>10-MSOP</t>
  </si>
  <si>
    <t>WSON-6-EP(2x2)</t>
  </si>
  <si>
    <t>48-HTQFP (7x7)</t>
  </si>
  <si>
    <t>EC21EFA-512-STD</t>
  </si>
  <si>
    <t>TSSOP-20</t>
  </si>
  <si>
    <t>SMD3225-4P</t>
  </si>
  <si>
    <t>SMD3215-2P</t>
  </si>
  <si>
    <t>SMD5032-4P</t>
  </si>
  <si>
    <t>Manufacturer Part Number</t>
  </si>
  <si>
    <t>GJM1555C1H150FB01D</t>
  </si>
  <si>
    <t>GRM155R70J105KA12J</t>
  </si>
  <si>
    <t>GRM188Z71A106KA73D</t>
  </si>
  <si>
    <t>GRM155R71E104KE14D</t>
  </si>
  <si>
    <t>GCJ188R71H104KA12D</t>
  </si>
  <si>
    <t>GCM1885C2A120JA16D</t>
  </si>
  <si>
    <t>CL05A475MO5NUNC</t>
  </si>
  <si>
    <t>GRM1555C1H102JA01D</t>
  </si>
  <si>
    <t>GCM155R71H103JA55D</t>
  </si>
  <si>
    <t>GRM32ER71H106KA12L</t>
  </si>
  <si>
    <t>GRM21BZ71A226ME15L</t>
  </si>
  <si>
    <t>GCJ188R71H473KA12D</t>
  </si>
  <si>
    <t>CC0603JRNPO9BN820</t>
  </si>
  <si>
    <t>GCJ188R71H333KA12D</t>
  </si>
  <si>
    <t>GRM21BZ70J226ME44L</t>
  </si>
  <si>
    <t>GCM1885C2A220JA16D</t>
  </si>
  <si>
    <t>GCM1885C1H332FA16D</t>
  </si>
  <si>
    <t>CC0603KRX7R9BB105</t>
  </si>
  <si>
    <t>GRM1885C1H222JA01D</t>
  </si>
  <si>
    <t>GRM1885C1H103JA01D</t>
  </si>
  <si>
    <t>CC0603KRX7R7BB225</t>
  </si>
  <si>
    <t>T490A107M006ATE800</t>
  </si>
  <si>
    <t>GCM1885C2A330JA16D</t>
  </si>
  <si>
    <t>CC0603JRNPO9BN100</t>
  </si>
  <si>
    <t>CC0603JRNPO9BN300</t>
  </si>
  <si>
    <t>CC0402KRX7R8BB102</t>
  </si>
  <si>
    <t>CC0402KRX5R8BB105</t>
  </si>
  <si>
    <t>CC0402MRX5R6BB106</t>
  </si>
  <si>
    <t>GRM1555C1E330JA01D</t>
  </si>
  <si>
    <t>ESD5Z3.3C</t>
  </si>
  <si>
    <t>1N4148WT</t>
  </si>
  <si>
    <t>1N5819HW-7-F</t>
  </si>
  <si>
    <t>BLM18PG221SN1D</t>
  </si>
  <si>
    <t>ETQ-P3M6R8KVN</t>
  </si>
  <si>
    <t>LQG18HH47NJ00D</t>
  </si>
  <si>
    <t>DY-333SDRD-SN-A3(EL)(HF)</t>
  </si>
  <si>
    <t>NCD0603R3</t>
  </si>
  <si>
    <t>333-2SYGD/S530-E2-L</t>
  </si>
  <si>
    <t>333-2UYD/S530-A3-L</t>
  </si>
  <si>
    <t>NCD0603Y2</t>
  </si>
  <si>
    <t>MMBT2222A-7-F</t>
  </si>
  <si>
    <t>DTC143ZETL</t>
  </si>
  <si>
    <t>RC0402FR-0747KL</t>
  </si>
  <si>
    <t>RC0402FR-073R3L</t>
  </si>
  <si>
    <t>RC0402FR-075K6L</t>
  </si>
  <si>
    <t>RC0402FR-0710KL</t>
  </si>
  <si>
    <t>RT0402BRE0711KL</t>
  </si>
  <si>
    <t>RC0603FR-07120RL</t>
  </si>
  <si>
    <t>RT0402BRC076K8L</t>
  </si>
  <si>
    <t>RT0402BRD078K2L</t>
  </si>
  <si>
    <t>RT0402BRD0710KL</t>
  </si>
  <si>
    <t>RT0402BRD07100KL</t>
  </si>
  <si>
    <t>RC0402FR-071KL</t>
  </si>
  <si>
    <t>RC0402FR-074K7L</t>
  </si>
  <si>
    <t>RC0603FR-075K1L</t>
  </si>
  <si>
    <t>RC0402FR-070RL</t>
  </si>
  <si>
    <t>RC0402FR-072KL</t>
  </si>
  <si>
    <t>RC0402FR-07240RL</t>
  </si>
  <si>
    <t>RC0402FR-07200KL</t>
  </si>
  <si>
    <t>RC0603FR-070RL</t>
  </si>
  <si>
    <t>RT0603BRD07511KL</t>
  </si>
  <si>
    <t>RC0603FR-0749R9L</t>
  </si>
  <si>
    <t>RT0603BRD0788K7L</t>
  </si>
  <si>
    <t>RT0603BRE0710K2L</t>
  </si>
  <si>
    <t>RT0603BRD0753K6L</t>
  </si>
  <si>
    <t>RC0603FR-0710KL</t>
  </si>
  <si>
    <t>RC0603FR-0720KL</t>
  </si>
  <si>
    <t>RC0603FR-07100KL</t>
  </si>
  <si>
    <t>RC0603FR-0745K3L</t>
  </si>
  <si>
    <t>RC0603FR-0751RL</t>
  </si>
  <si>
    <t>RT0603BRD0773K2L</t>
  </si>
  <si>
    <t>RC0603FR-0737K4L</t>
  </si>
  <si>
    <t>RC0402FR-071K87L</t>
  </si>
  <si>
    <t>RC0402FR-074K99L</t>
  </si>
  <si>
    <t>RC0603FR-07140KL</t>
  </si>
  <si>
    <t>RC0603FR-0751KL</t>
  </si>
  <si>
    <t>RC0603FR-07680RL</t>
  </si>
  <si>
    <t>RC0603FR-07820RL</t>
  </si>
  <si>
    <t>RC0603FR-07499RL</t>
  </si>
  <si>
    <t>RC0603FR-07100RL</t>
  </si>
  <si>
    <t>RC0603FR-0710RL</t>
  </si>
  <si>
    <t>RT0402BRE079K53L</t>
  </si>
  <si>
    <t>RC0603FR-0790K9L</t>
  </si>
  <si>
    <t>RC0603FR-071ML</t>
  </si>
  <si>
    <t>RC0603FR-071KL</t>
  </si>
  <si>
    <t>RC0603FR-0747KL</t>
  </si>
  <si>
    <t>RC0603FR-0722RL</t>
  </si>
  <si>
    <t>RC0603FR-074K7L</t>
  </si>
  <si>
    <t>RC0402JR-0710ML</t>
  </si>
  <si>
    <t>V3s</t>
  </si>
  <si>
    <t>W25Q128JVEIQ</t>
  </si>
  <si>
    <t>PCF8563T/5,518</t>
  </si>
  <si>
    <t>CH340C</t>
  </si>
  <si>
    <t>TPS62933DRLR</t>
  </si>
  <si>
    <t>TPS65261RHBR</t>
  </si>
  <si>
    <t>TPS563202DRLR</t>
  </si>
  <si>
    <t>TPS74801RGWR</t>
  </si>
  <si>
    <t>XC6206P302MR-G</t>
  </si>
  <si>
    <t>TPS7A4533DCQR</t>
  </si>
  <si>
    <t>NS2009</t>
  </si>
  <si>
    <t>TPS61158DRVR</t>
  </si>
  <si>
    <t>TUSB4020BIPHPR</t>
  </si>
  <si>
    <t>TXS0108EPWR</t>
  </si>
  <si>
    <t>7M24000192</t>
  </si>
  <si>
    <t>CM315D32768DZFT</t>
  </si>
  <si>
    <t>X503224MSB4SI</t>
  </si>
  <si>
    <t>Manufacturer</t>
  </si>
  <si>
    <t>Murata</t>
  </si>
  <si>
    <t>Wincap(Xingkai)</t>
  </si>
  <si>
    <t>Samsung</t>
  </si>
  <si>
    <t>Yageo</t>
  </si>
  <si>
    <t>KEMET</t>
  </si>
  <si>
    <t>MDD(Microdiode Semiconductor)</t>
  </si>
  <si>
    <t>ON Semiconductor / Fairchild</t>
  </si>
  <si>
    <t>Diodes</t>
  </si>
  <si>
    <t>Molex</t>
  </si>
  <si>
    <t>hanxia</t>
  </si>
  <si>
    <t>HRO Electronics</t>
  </si>
  <si>
    <t>Hirose</t>
  </si>
  <si>
    <t>JST</t>
  </si>
  <si>
    <t>Panasonic</t>
  </si>
  <si>
    <t>SXN(Shun Xiang Nuo Elec)</t>
  </si>
  <si>
    <t>Bourns</t>
  </si>
  <si>
    <t>YJYCOIN</t>
  </si>
  <si>
    <t>TONYU</t>
  </si>
  <si>
    <t>Foshan NationStar Optoelectronics</t>
  </si>
  <si>
    <t>Everlight</t>
  </si>
  <si>
    <t>FUET</t>
  </si>
  <si>
    <t>Rohm</t>
  </si>
  <si>
    <t>TE Connectivity Alcoswitch</t>
  </si>
  <si>
    <t>XUNPU</t>
  </si>
  <si>
    <t>Allwinner Tech</t>
  </si>
  <si>
    <t>Winbond</t>
  </si>
  <si>
    <t>NXP Semiconductors</t>
  </si>
  <si>
    <t>WCH</t>
  </si>
  <si>
    <t>Texas Instruments</t>
  </si>
  <si>
    <t>Torex</t>
  </si>
  <si>
    <t>Shenzhen Nsiway Tech</t>
  </si>
  <si>
    <t>Quectel Wireless Solutions</t>
  </si>
  <si>
    <t>TXC Corp</t>
  </si>
  <si>
    <t>Citizen</t>
  </si>
  <si>
    <t>YXC</t>
  </si>
  <si>
    <t>15pF</t>
  </si>
  <si>
    <t>1uF</t>
  </si>
  <si>
    <t>10uF</t>
  </si>
  <si>
    <t>0.1uF</t>
  </si>
  <si>
    <t>0.47F</t>
  </si>
  <si>
    <t>12pF</t>
  </si>
  <si>
    <t>4.7uF</t>
  </si>
  <si>
    <t>1nF</t>
  </si>
  <si>
    <t>10nF</t>
  </si>
  <si>
    <t>22uF</t>
  </si>
  <si>
    <t>47nF</t>
  </si>
  <si>
    <t>82pF</t>
  </si>
  <si>
    <t>33nF</t>
  </si>
  <si>
    <t>22pF</t>
  </si>
  <si>
    <t>3.3nF</t>
  </si>
  <si>
    <t>2.2nF</t>
  </si>
  <si>
    <t>0.01uF</t>
  </si>
  <si>
    <t>2.2uF</t>
  </si>
  <si>
    <t>100uF</t>
  </si>
  <si>
    <t>33pF</t>
  </si>
  <si>
    <t>10pF</t>
  </si>
  <si>
    <t>30pF</t>
  </si>
  <si>
    <t>DNP</t>
  </si>
  <si>
    <t>6.8uH</t>
  </si>
  <si>
    <t>4.7uH</t>
  </si>
  <si>
    <t>22uH</t>
  </si>
  <si>
    <t>47K</t>
  </si>
  <si>
    <t>3.3R</t>
  </si>
  <si>
    <t>5.6K</t>
  </si>
  <si>
    <t>10K</t>
  </si>
  <si>
    <t>11K</t>
  </si>
  <si>
    <t>120R</t>
  </si>
  <si>
    <t>6.8K</t>
  </si>
  <si>
    <t>8.2K</t>
  </si>
  <si>
    <t>100K</t>
  </si>
  <si>
    <t>1K</t>
  </si>
  <si>
    <t>4.7K</t>
  </si>
  <si>
    <t>5.1K</t>
  </si>
  <si>
    <t>0R</t>
  </si>
  <si>
    <t>2K</t>
  </si>
  <si>
    <t>240R</t>
  </si>
  <si>
    <t>200K</t>
  </si>
  <si>
    <t>511K</t>
  </si>
  <si>
    <t>49.9R</t>
  </si>
  <si>
    <t>88.7K</t>
  </si>
  <si>
    <t>10.2K</t>
  </si>
  <si>
    <t>53.6K</t>
  </si>
  <si>
    <t>20K</t>
  </si>
  <si>
    <t>45.3K</t>
  </si>
  <si>
    <t>30K</t>
  </si>
  <si>
    <t>51R</t>
  </si>
  <si>
    <t>73.2K</t>
  </si>
  <si>
    <t>37.4K</t>
  </si>
  <si>
    <t>1.87K</t>
  </si>
  <si>
    <t>4.99K</t>
  </si>
  <si>
    <t>140K</t>
  </si>
  <si>
    <t>51K</t>
  </si>
  <si>
    <t>680R</t>
  </si>
  <si>
    <t>820R</t>
  </si>
  <si>
    <t>499R</t>
  </si>
  <si>
    <t>100R</t>
  </si>
  <si>
    <t>10R</t>
  </si>
  <si>
    <t>9.53K</t>
  </si>
  <si>
    <t>90.9K</t>
  </si>
  <si>
    <t>1M</t>
  </si>
  <si>
    <t>22R</t>
  </si>
  <si>
    <t>10M</t>
  </si>
  <si>
    <t>24MHz</t>
  </si>
  <si>
    <t>32.768kHz</t>
  </si>
  <si>
    <t>Quantity</t>
  </si>
  <si>
    <t>Remarks</t>
  </si>
  <si>
    <t>Value</t>
  </si>
  <si>
    <t>RC0603FR-0730KL</t>
  </si>
  <si>
    <t>DO NOT PLACE</t>
  </si>
  <si>
    <t>Custom</t>
  </si>
  <si>
    <t>-</t>
  </si>
  <si>
    <t>Peripheral</t>
  </si>
  <si>
    <t>BWIPX1-SMA-1.13L200</t>
  </si>
  <si>
    <t>20cm IPEX to SMA 1Gen RF Cables ROHS</t>
  </si>
  <si>
    <t>BAT WIRELESS</t>
  </si>
  <si>
    <t>MKUS008G-IGT1A</t>
  </si>
  <si>
    <t xml:space="preserve">Storage products </t>
  </si>
  <si>
    <t>MK</t>
  </si>
  <si>
    <t>or any other industrial microSD card with 8GB of storage</t>
  </si>
  <si>
    <t>JS05A-40P-100-3-4</t>
  </si>
  <si>
    <t>JUSHUO</t>
  </si>
  <si>
    <t>0.3mm 40P 0.5mm Same Side 10cm P=0.5mm FFC Cable (Flexible Flat Cable) ROHS</t>
  </si>
  <si>
    <t>C4, C11, C16, C20, C33, C37, C41, C57, C58, C93, C94, C149</t>
  </si>
  <si>
    <t>C7, C12, C13, C14, C15, C18, C19, C24, C27, C28, C29, C30, C31, C35, C36, C39, C40, C43, C44, C46, C95, C97, C111, C114, C117, C120, C124, C127, C130, C133</t>
  </si>
  <si>
    <t>LED2, LED3, LED4, LED5, LED8</t>
  </si>
  <si>
    <t>R18, R19, R90, R91, R92, R94</t>
  </si>
  <si>
    <t>SD Card</t>
  </si>
  <si>
    <t>3 4G Antenna 3.8dBi Linear 10W Antennas ROHS</t>
  </si>
  <si>
    <t>AECW004</t>
  </si>
  <si>
    <t>MyAntenna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</si>
</sst>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35"/>
  <sheetViews>
    <sheetView tabSelected="1" topLeftCell="A125" workbookViewId="0">
      <selection activeCell="M119" sqref="M119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21.42578125" bestFit="1" customWidth="1"/>
    <col min="9" max="9" width="8.42578125" bestFit="1" customWidth="1"/>
    <col min="10" max="10" width="8.7109375" bestFit="1" customWidth="1"/>
    <col min="11" max="11" width="13.710937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8"/>
      <c r="J1" s="18"/>
      <c r="K1" s="18"/>
    </row>
    <row r="2" spans="1:11" ht="15.75" thickBot="1" x14ac:dyDescent="0.3">
      <c r="A2" s="1"/>
      <c r="B2" s="5" t="s">
        <v>0</v>
      </c>
      <c r="C2" s="5" t="s">
        <v>1</v>
      </c>
      <c r="D2" s="5" t="s">
        <v>26</v>
      </c>
      <c r="E2" s="6" t="s">
        <v>152</v>
      </c>
      <c r="F2" s="5" t="s">
        <v>275</v>
      </c>
      <c r="G2" s="6" t="s">
        <v>323</v>
      </c>
      <c r="H2" s="5" t="s">
        <v>430</v>
      </c>
      <c r="I2" s="6" t="s">
        <v>537</v>
      </c>
      <c r="J2" s="5" t="s">
        <v>535</v>
      </c>
      <c r="K2" s="5" t="s">
        <v>536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27</v>
      </c>
      <c r="E3" s="8" t="s">
        <v>153</v>
      </c>
      <c r="F3" s="7" t="s">
        <v>276</v>
      </c>
      <c r="G3" s="8" t="s">
        <v>324</v>
      </c>
      <c r="H3" s="7" t="s">
        <v>431</v>
      </c>
      <c r="I3" s="8" t="s">
        <v>466</v>
      </c>
      <c r="J3" s="7">
        <v>4</v>
      </c>
      <c r="K3" s="7"/>
    </row>
    <row r="4" spans="1:11" ht="15.75" thickBot="1" x14ac:dyDescent="0.3">
      <c r="A4" s="1"/>
      <c r="B4" s="11">
        <f t="shared" ref="B4:B131" si="0">ROW(B4) - ROW($B$2)</f>
        <v>2</v>
      </c>
      <c r="C4" s="13" t="s">
        <v>2</v>
      </c>
      <c r="D4" s="9" t="s">
        <v>28</v>
      </c>
      <c r="E4" s="10" t="s">
        <v>154</v>
      </c>
      <c r="F4" s="9" t="s">
        <v>276</v>
      </c>
      <c r="G4" s="10" t="s">
        <v>325</v>
      </c>
      <c r="H4" s="9" t="s">
        <v>431</v>
      </c>
      <c r="I4" s="10" t="s">
        <v>467</v>
      </c>
      <c r="J4" s="9">
        <v>10</v>
      </c>
      <c r="K4" s="9"/>
    </row>
    <row r="5" spans="1:11" ht="24.75" thickBot="1" x14ac:dyDescent="0.3">
      <c r="A5" s="1"/>
      <c r="B5" s="11">
        <f>ROW(B5) - ROW($B$2)</f>
        <v>3</v>
      </c>
      <c r="C5" s="12" t="s">
        <v>3</v>
      </c>
      <c r="D5" s="7" t="s">
        <v>553</v>
      </c>
      <c r="E5" s="8" t="s">
        <v>155</v>
      </c>
      <c r="F5" s="7" t="s">
        <v>277</v>
      </c>
      <c r="G5" s="8" t="s">
        <v>326</v>
      </c>
      <c r="H5" s="7" t="s">
        <v>431</v>
      </c>
      <c r="I5" s="8" t="s">
        <v>468</v>
      </c>
      <c r="J5" s="7">
        <v>12</v>
      </c>
      <c r="K5" s="7"/>
    </row>
    <row r="6" spans="1:11" ht="48.75" thickBot="1" x14ac:dyDescent="0.3">
      <c r="A6" s="1"/>
      <c r="B6" s="11">
        <f t="shared" si="0"/>
        <v>4</v>
      </c>
      <c r="C6" s="13" t="s">
        <v>2</v>
      </c>
      <c r="D6" s="9" t="s">
        <v>554</v>
      </c>
      <c r="E6" s="10" t="s">
        <v>156</v>
      </c>
      <c r="F6" s="9" t="s">
        <v>276</v>
      </c>
      <c r="G6" s="10" t="s">
        <v>327</v>
      </c>
      <c r="H6" s="9" t="s">
        <v>431</v>
      </c>
      <c r="I6" s="10" t="s">
        <v>469</v>
      </c>
      <c r="J6" s="9">
        <v>30</v>
      </c>
      <c r="K6" s="9"/>
    </row>
    <row r="7" spans="1:11" ht="15.75" thickBot="1" x14ac:dyDescent="0.3">
      <c r="A7" s="1"/>
      <c r="B7" s="11">
        <f>ROW(B7) - ROW($B$2)</f>
        <v>5</v>
      </c>
      <c r="C7" s="12" t="s">
        <v>4</v>
      </c>
      <c r="D7" s="7" t="s">
        <v>29</v>
      </c>
      <c r="E7" s="8" t="s">
        <v>157</v>
      </c>
      <c r="F7" s="7" t="s">
        <v>540</v>
      </c>
      <c r="G7" s="8" t="s">
        <v>278</v>
      </c>
      <c r="H7" s="7" t="s">
        <v>432</v>
      </c>
      <c r="I7" s="8" t="s">
        <v>470</v>
      </c>
      <c r="J7" s="7">
        <v>1</v>
      </c>
      <c r="K7" s="7"/>
    </row>
    <row r="8" spans="1:11" ht="24.75" thickBot="1" x14ac:dyDescent="0.3">
      <c r="A8" s="1"/>
      <c r="B8" s="11">
        <f t="shared" si="0"/>
        <v>6</v>
      </c>
      <c r="C8" s="13" t="s">
        <v>2</v>
      </c>
      <c r="D8" s="9" t="s">
        <v>30</v>
      </c>
      <c r="E8" s="10" t="s">
        <v>158</v>
      </c>
      <c r="F8" s="9" t="s">
        <v>277</v>
      </c>
      <c r="G8" s="10" t="s">
        <v>328</v>
      </c>
      <c r="H8" s="9" t="s">
        <v>431</v>
      </c>
      <c r="I8" s="10" t="s">
        <v>469</v>
      </c>
      <c r="J8" s="9">
        <v>12</v>
      </c>
      <c r="K8" s="9"/>
    </row>
    <row r="9" spans="1:11" ht="15.75" thickBot="1" x14ac:dyDescent="0.3">
      <c r="A9" s="1"/>
      <c r="B9" s="11">
        <f>ROW(B9) - ROW($B$2)</f>
        <v>7</v>
      </c>
      <c r="C9" s="12" t="s">
        <v>3</v>
      </c>
      <c r="D9" s="7" t="s">
        <v>31</v>
      </c>
      <c r="E9" s="8" t="s">
        <v>159</v>
      </c>
      <c r="F9" s="7" t="s">
        <v>277</v>
      </c>
      <c r="G9" s="8" t="s">
        <v>329</v>
      </c>
      <c r="H9" s="7" t="s">
        <v>431</v>
      </c>
      <c r="I9" s="8" t="s">
        <v>471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2" t="s">
        <v>3</v>
      </c>
      <c r="D10" s="9" t="s">
        <v>32</v>
      </c>
      <c r="E10" s="10" t="s">
        <v>160</v>
      </c>
      <c r="F10" s="9" t="s">
        <v>276</v>
      </c>
      <c r="G10" s="10" t="s">
        <v>330</v>
      </c>
      <c r="H10" s="9" t="s">
        <v>433</v>
      </c>
      <c r="I10" s="10" t="s">
        <v>472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33</v>
      </c>
      <c r="E11" s="8" t="s">
        <v>161</v>
      </c>
      <c r="F11" s="7" t="s">
        <v>276</v>
      </c>
      <c r="G11" s="8" t="s">
        <v>331</v>
      </c>
      <c r="H11" s="7" t="s">
        <v>431</v>
      </c>
      <c r="I11" s="8" t="s">
        <v>473</v>
      </c>
      <c r="J11" s="7">
        <v>1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3</v>
      </c>
      <c r="D12" s="9" t="s">
        <v>34</v>
      </c>
      <c r="E12" s="10" t="s">
        <v>162</v>
      </c>
      <c r="F12" s="9" t="s">
        <v>276</v>
      </c>
      <c r="G12" s="10" t="s">
        <v>332</v>
      </c>
      <c r="H12" s="9" t="s">
        <v>431</v>
      </c>
      <c r="I12" s="10" t="s">
        <v>474</v>
      </c>
      <c r="J12" s="9">
        <v>9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35</v>
      </c>
      <c r="E13" s="8" t="s">
        <v>163</v>
      </c>
      <c r="F13" s="7" t="s">
        <v>279</v>
      </c>
      <c r="G13" s="8" t="s">
        <v>333</v>
      </c>
      <c r="H13" s="7" t="s">
        <v>431</v>
      </c>
      <c r="I13" s="8" t="s">
        <v>468</v>
      </c>
      <c r="J13" s="7">
        <v>9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3</v>
      </c>
      <c r="D14" s="9" t="s">
        <v>36</v>
      </c>
      <c r="E14" s="10" t="s">
        <v>164</v>
      </c>
      <c r="F14" s="9" t="s">
        <v>280</v>
      </c>
      <c r="G14" s="10" t="s">
        <v>334</v>
      </c>
      <c r="H14" s="9" t="s">
        <v>431</v>
      </c>
      <c r="I14" s="10" t="s">
        <v>475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37</v>
      </c>
      <c r="E15" s="8" t="s">
        <v>165</v>
      </c>
      <c r="F15" s="7" t="s">
        <v>277</v>
      </c>
      <c r="G15" s="8" t="s">
        <v>335</v>
      </c>
      <c r="H15" s="7" t="s">
        <v>431</v>
      </c>
      <c r="I15" s="8" t="s">
        <v>476</v>
      </c>
      <c r="J15" s="7">
        <v>3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38</v>
      </c>
      <c r="E16" s="10" t="s">
        <v>166</v>
      </c>
      <c r="F16" s="9" t="s">
        <v>277</v>
      </c>
      <c r="G16" s="10" t="s">
        <v>336</v>
      </c>
      <c r="H16" s="9" t="s">
        <v>434</v>
      </c>
      <c r="I16" s="10" t="s">
        <v>477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39</v>
      </c>
      <c r="E17" s="8" t="s">
        <v>167</v>
      </c>
      <c r="F17" s="7" t="s">
        <v>277</v>
      </c>
      <c r="G17" s="8" t="s">
        <v>337</v>
      </c>
      <c r="H17" s="7" t="s">
        <v>431</v>
      </c>
      <c r="I17" s="8" t="s">
        <v>478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40</v>
      </c>
      <c r="E18" s="10" t="s">
        <v>168</v>
      </c>
      <c r="F18" s="9" t="s">
        <v>280</v>
      </c>
      <c r="G18" s="10" t="s">
        <v>338</v>
      </c>
      <c r="H18" s="9" t="s">
        <v>431</v>
      </c>
      <c r="I18" s="10" t="s">
        <v>475</v>
      </c>
      <c r="J18" s="9">
        <v>8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41</v>
      </c>
      <c r="E19" s="8" t="s">
        <v>169</v>
      </c>
      <c r="F19" s="7" t="s">
        <v>277</v>
      </c>
      <c r="G19" s="8" t="s">
        <v>339</v>
      </c>
      <c r="H19" s="7" t="s">
        <v>431</v>
      </c>
      <c r="I19" s="8" t="s">
        <v>479</v>
      </c>
      <c r="J19" s="7">
        <v>5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42</v>
      </c>
      <c r="E20" s="10" t="s">
        <v>170</v>
      </c>
      <c r="F20" s="9" t="s">
        <v>277</v>
      </c>
      <c r="G20" s="10" t="s">
        <v>340</v>
      </c>
      <c r="H20" s="9" t="s">
        <v>431</v>
      </c>
      <c r="I20" s="10" t="s">
        <v>480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43</v>
      </c>
      <c r="E21" s="8" t="s">
        <v>171</v>
      </c>
      <c r="F21" s="7" t="s">
        <v>277</v>
      </c>
      <c r="G21" s="8" t="s">
        <v>341</v>
      </c>
      <c r="H21" s="7" t="s">
        <v>434</v>
      </c>
      <c r="I21" s="8" t="s">
        <v>467</v>
      </c>
      <c r="J21" s="7">
        <v>3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44</v>
      </c>
      <c r="E22" s="10" t="s">
        <v>172</v>
      </c>
      <c r="F22" s="9" t="s">
        <v>277</v>
      </c>
      <c r="G22" s="10" t="s">
        <v>342</v>
      </c>
      <c r="H22" s="9" t="s">
        <v>431</v>
      </c>
      <c r="I22" s="10" t="s">
        <v>481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3" t="s">
        <v>2</v>
      </c>
      <c r="D23" s="7" t="s">
        <v>45</v>
      </c>
      <c r="E23" s="8" t="s">
        <v>173</v>
      </c>
      <c r="F23" s="7" t="s">
        <v>277</v>
      </c>
      <c r="G23" s="8" t="s">
        <v>343</v>
      </c>
      <c r="H23" s="7" t="s">
        <v>431</v>
      </c>
      <c r="I23" s="8" t="s">
        <v>482</v>
      </c>
      <c r="J23" s="7">
        <v>3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46</v>
      </c>
      <c r="E24" s="10" t="s">
        <v>174</v>
      </c>
      <c r="F24" s="9" t="s">
        <v>277</v>
      </c>
      <c r="G24" s="10" t="s">
        <v>344</v>
      </c>
      <c r="H24" s="9" t="s">
        <v>434</v>
      </c>
      <c r="I24" s="10" t="s">
        <v>483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3" t="s">
        <v>2</v>
      </c>
      <c r="D25" s="7" t="s">
        <v>47</v>
      </c>
      <c r="E25" s="8" t="s">
        <v>175</v>
      </c>
      <c r="F25" s="7" t="s">
        <v>281</v>
      </c>
      <c r="G25" s="8" t="s">
        <v>345</v>
      </c>
      <c r="H25" s="7" t="s">
        <v>435</v>
      </c>
      <c r="I25" s="8" t="s">
        <v>484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</v>
      </c>
      <c r="D26" s="9" t="s">
        <v>48</v>
      </c>
      <c r="E26" s="10" t="s">
        <v>176</v>
      </c>
      <c r="F26" s="9" t="s">
        <v>277</v>
      </c>
      <c r="G26" s="10" t="s">
        <v>346</v>
      </c>
      <c r="H26" s="9" t="s">
        <v>431</v>
      </c>
      <c r="I26" s="10" t="s">
        <v>485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3" t="s">
        <v>2</v>
      </c>
      <c r="D27" s="7" t="s">
        <v>49</v>
      </c>
      <c r="E27" s="8" t="s">
        <v>177</v>
      </c>
      <c r="F27" s="7" t="s">
        <v>277</v>
      </c>
      <c r="G27" s="8" t="s">
        <v>347</v>
      </c>
      <c r="H27" s="7" t="s">
        <v>434</v>
      </c>
      <c r="I27" s="8" t="s">
        <v>486</v>
      </c>
      <c r="J27" s="7">
        <v>2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2</v>
      </c>
      <c r="D28" s="9" t="s">
        <v>50</v>
      </c>
      <c r="E28" s="10" t="s">
        <v>178</v>
      </c>
      <c r="F28" s="9" t="s">
        <v>277</v>
      </c>
      <c r="G28" s="10" t="s">
        <v>348</v>
      </c>
      <c r="H28" s="9" t="s">
        <v>434</v>
      </c>
      <c r="I28" s="10" t="s">
        <v>487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3" t="s">
        <v>2</v>
      </c>
      <c r="D29" s="7" t="s">
        <v>51</v>
      </c>
      <c r="E29" s="8" t="s">
        <v>179</v>
      </c>
      <c r="F29" s="7" t="s">
        <v>276</v>
      </c>
      <c r="G29" s="8" t="s">
        <v>349</v>
      </c>
      <c r="H29" s="7" t="s">
        <v>434</v>
      </c>
      <c r="I29" s="8" t="s">
        <v>473</v>
      </c>
      <c r="J29" s="7">
        <v>8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2</v>
      </c>
      <c r="D30" s="9" t="s">
        <v>52</v>
      </c>
      <c r="E30" s="10" t="s">
        <v>180</v>
      </c>
      <c r="F30" s="9" t="s">
        <v>276</v>
      </c>
      <c r="G30" s="10" t="s">
        <v>350</v>
      </c>
      <c r="H30" s="9" t="s">
        <v>434</v>
      </c>
      <c r="I30" s="10" t="s">
        <v>467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3</v>
      </c>
      <c r="D31" s="7" t="s">
        <v>53</v>
      </c>
      <c r="E31" s="8" t="s">
        <v>181</v>
      </c>
      <c r="F31" s="7" t="s">
        <v>276</v>
      </c>
      <c r="G31" s="8" t="s">
        <v>351</v>
      </c>
      <c r="H31" s="7" t="s">
        <v>434</v>
      </c>
      <c r="I31" s="8" t="s">
        <v>468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3</v>
      </c>
      <c r="D32" s="14" t="s">
        <v>54</v>
      </c>
      <c r="E32" s="15" t="s">
        <v>182</v>
      </c>
      <c r="F32" s="14" t="s">
        <v>276</v>
      </c>
      <c r="G32" s="15" t="s">
        <v>352</v>
      </c>
      <c r="H32" s="14" t="s">
        <v>431</v>
      </c>
      <c r="I32" s="15" t="s">
        <v>488</v>
      </c>
      <c r="J32" s="14">
        <v>7</v>
      </c>
      <c r="K32" s="16" t="s">
        <v>539</v>
      </c>
    </row>
    <row r="33" spans="1:11" ht="15.75" thickBot="1" x14ac:dyDescent="0.3">
      <c r="A33" s="1"/>
      <c r="B33" s="11">
        <f>ROW(B33) - ROW($B$2)</f>
        <v>31</v>
      </c>
      <c r="C33" s="12" t="s">
        <v>2</v>
      </c>
      <c r="D33" s="14" t="s">
        <v>55</v>
      </c>
      <c r="E33" s="15" t="s">
        <v>158</v>
      </c>
      <c r="F33" s="14" t="s">
        <v>277</v>
      </c>
      <c r="G33" s="15" t="s">
        <v>328</v>
      </c>
      <c r="H33" s="14" t="s">
        <v>431</v>
      </c>
      <c r="I33" s="15" t="s">
        <v>488</v>
      </c>
      <c r="J33" s="14">
        <v>1</v>
      </c>
      <c r="K33" s="16" t="s">
        <v>539</v>
      </c>
    </row>
    <row r="34" spans="1:11" ht="36.75" thickBot="1" x14ac:dyDescent="0.3">
      <c r="A34" s="1"/>
      <c r="B34" s="11">
        <f t="shared" si="0"/>
        <v>32</v>
      </c>
      <c r="C34" s="13" t="s">
        <v>5</v>
      </c>
      <c r="D34" s="9" t="s">
        <v>56</v>
      </c>
      <c r="E34" s="10" t="s">
        <v>183</v>
      </c>
      <c r="F34" s="9" t="s">
        <v>282</v>
      </c>
      <c r="G34" s="10" t="s">
        <v>353</v>
      </c>
      <c r="H34" s="9" t="s">
        <v>436</v>
      </c>
      <c r="I34" s="10" t="s">
        <v>541</v>
      </c>
      <c r="J34" s="9">
        <v>9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6</v>
      </c>
      <c r="D35" s="7" t="s">
        <v>57</v>
      </c>
      <c r="E35" s="8" t="s">
        <v>184</v>
      </c>
      <c r="F35" s="7" t="s">
        <v>283</v>
      </c>
      <c r="G35" s="8" t="s">
        <v>354</v>
      </c>
      <c r="H35" s="7" t="s">
        <v>437</v>
      </c>
      <c r="I35" s="10" t="s">
        <v>541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6</v>
      </c>
      <c r="D36" s="14" t="s">
        <v>58</v>
      </c>
      <c r="E36" s="15" t="s">
        <v>185</v>
      </c>
      <c r="F36" s="14" t="s">
        <v>284</v>
      </c>
      <c r="G36" s="15" t="s">
        <v>355</v>
      </c>
      <c r="H36" s="14" t="s">
        <v>438</v>
      </c>
      <c r="I36" s="15" t="s">
        <v>488</v>
      </c>
      <c r="J36" s="14">
        <v>1</v>
      </c>
      <c r="K36" s="16" t="s">
        <v>539</v>
      </c>
    </row>
    <row r="37" spans="1:11" ht="15.75" thickBot="1" x14ac:dyDescent="0.3">
      <c r="A37" s="1"/>
      <c r="B37" s="11">
        <f>ROW(B37) - ROW($B$2)</f>
        <v>35</v>
      </c>
      <c r="C37" s="12" t="s">
        <v>7</v>
      </c>
      <c r="D37" s="7" t="s">
        <v>59</v>
      </c>
      <c r="E37" s="8" t="s">
        <v>186</v>
      </c>
      <c r="F37" s="7" t="s">
        <v>285</v>
      </c>
      <c r="G37" s="8" t="s">
        <v>356</v>
      </c>
      <c r="H37" s="7" t="s">
        <v>431</v>
      </c>
      <c r="I37" s="8" t="s">
        <v>541</v>
      </c>
      <c r="J37" s="7">
        <v>2</v>
      </c>
      <c r="K37" s="7"/>
    </row>
    <row r="38" spans="1:11" ht="36.75" thickBot="1" x14ac:dyDescent="0.3">
      <c r="A38" s="1"/>
      <c r="B38" s="11">
        <f t="shared" si="0"/>
        <v>36</v>
      </c>
      <c r="C38" s="13" t="s">
        <v>557</v>
      </c>
      <c r="D38" s="9" t="s">
        <v>60</v>
      </c>
      <c r="E38" s="10" t="s">
        <v>187</v>
      </c>
      <c r="F38" s="7" t="s">
        <v>540</v>
      </c>
      <c r="G38" s="10">
        <v>5027740891</v>
      </c>
      <c r="H38" s="9" t="s">
        <v>439</v>
      </c>
      <c r="I38" s="8" t="s">
        <v>541</v>
      </c>
      <c r="J38" s="9">
        <v>1</v>
      </c>
      <c r="K38" s="9"/>
    </row>
    <row r="39" spans="1:11" ht="48.75" thickBot="1" x14ac:dyDescent="0.3">
      <c r="A39" s="1"/>
      <c r="B39" s="11">
        <f>ROW(B39) - ROW($B$2)</f>
        <v>37</v>
      </c>
      <c r="C39" s="12" t="s">
        <v>8</v>
      </c>
      <c r="D39" s="7" t="s">
        <v>61</v>
      </c>
      <c r="E39" s="8" t="s">
        <v>188</v>
      </c>
      <c r="F39" s="7" t="s">
        <v>540</v>
      </c>
      <c r="G39" s="8" t="s">
        <v>286</v>
      </c>
      <c r="H39" s="7" t="s">
        <v>440</v>
      </c>
      <c r="I39" s="8" t="s">
        <v>541</v>
      </c>
      <c r="J39" s="7">
        <v>1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9</v>
      </c>
      <c r="D40" s="9" t="s">
        <v>62</v>
      </c>
      <c r="E40" s="10" t="s">
        <v>189</v>
      </c>
      <c r="F40" s="7" t="s">
        <v>540</v>
      </c>
      <c r="G40" s="10" t="s">
        <v>287</v>
      </c>
      <c r="H40" s="9" t="s">
        <v>441</v>
      </c>
      <c r="I40" s="8" t="s">
        <v>541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10</v>
      </c>
      <c r="D41" s="7" t="s">
        <v>63</v>
      </c>
      <c r="E41" s="8" t="s">
        <v>190</v>
      </c>
      <c r="F41" s="7" t="s">
        <v>540</v>
      </c>
      <c r="G41" s="8" t="s">
        <v>288</v>
      </c>
      <c r="H41" s="7" t="s">
        <v>442</v>
      </c>
      <c r="I41" s="8" t="s">
        <v>541</v>
      </c>
      <c r="J41" s="7">
        <v>1</v>
      </c>
      <c r="K41" s="7"/>
    </row>
    <row r="42" spans="1:11" ht="26.25" thickBot="1" x14ac:dyDescent="0.3">
      <c r="A42" s="1"/>
      <c r="B42" s="11">
        <f t="shared" si="0"/>
        <v>40</v>
      </c>
      <c r="C42" s="13" t="s">
        <v>11</v>
      </c>
      <c r="D42" s="9" t="s">
        <v>64</v>
      </c>
      <c r="E42" s="10" t="s">
        <v>191</v>
      </c>
      <c r="F42" s="7" t="s">
        <v>540</v>
      </c>
      <c r="G42" s="10" t="s">
        <v>289</v>
      </c>
      <c r="H42" s="9" t="s">
        <v>442</v>
      </c>
      <c r="I42" s="8" t="s">
        <v>541</v>
      </c>
      <c r="J42" s="9">
        <v>2</v>
      </c>
      <c r="K42" s="9"/>
    </row>
    <row r="43" spans="1:11" ht="26.25" thickBot="1" x14ac:dyDescent="0.3">
      <c r="A43" s="1"/>
      <c r="B43" s="11">
        <f t="shared" si="0"/>
        <v>41</v>
      </c>
      <c r="C43" s="13" t="s">
        <v>11</v>
      </c>
      <c r="D43" s="14" t="s">
        <v>65</v>
      </c>
      <c r="E43" s="15" t="s">
        <v>191</v>
      </c>
      <c r="F43" s="14" t="s">
        <v>540</v>
      </c>
      <c r="G43" s="15" t="s">
        <v>289</v>
      </c>
      <c r="H43" s="14" t="s">
        <v>442</v>
      </c>
      <c r="I43" s="15" t="s">
        <v>488</v>
      </c>
      <c r="J43" s="14">
        <v>1</v>
      </c>
      <c r="K43" s="16" t="s">
        <v>539</v>
      </c>
    </row>
    <row r="44" spans="1:11" ht="26.25" thickBot="1" x14ac:dyDescent="0.3">
      <c r="A44" s="1"/>
      <c r="B44" s="11">
        <f t="shared" si="0"/>
        <v>42</v>
      </c>
      <c r="C44" s="13" t="s">
        <v>12</v>
      </c>
      <c r="D44" s="9" t="s">
        <v>66</v>
      </c>
      <c r="E44" s="10" t="s">
        <v>192</v>
      </c>
      <c r="F44" s="7" t="s">
        <v>540</v>
      </c>
      <c r="G44" s="10" t="s">
        <v>290</v>
      </c>
      <c r="H44" s="9" t="s">
        <v>443</v>
      </c>
      <c r="I44" s="10" t="s">
        <v>541</v>
      </c>
      <c r="J44" s="9">
        <v>1</v>
      </c>
      <c r="K44" s="9"/>
    </row>
    <row r="45" spans="1:11" ht="15.75" thickBot="1" x14ac:dyDescent="0.3">
      <c r="A45" s="1"/>
      <c r="B45" s="11">
        <f t="shared" si="0"/>
        <v>43</v>
      </c>
      <c r="C45" s="13" t="s">
        <v>13</v>
      </c>
      <c r="D45" s="9" t="s">
        <v>67</v>
      </c>
      <c r="E45" s="10" t="s">
        <v>193</v>
      </c>
      <c r="F45" s="7" t="s">
        <v>540</v>
      </c>
      <c r="G45" s="10" t="s">
        <v>357</v>
      </c>
      <c r="H45" s="9" t="s">
        <v>444</v>
      </c>
      <c r="I45" s="10" t="s">
        <v>489</v>
      </c>
      <c r="J45" s="9">
        <v>1</v>
      </c>
      <c r="K45" s="9"/>
    </row>
    <row r="46" spans="1:11" ht="24.75" thickBot="1" x14ac:dyDescent="0.3">
      <c r="A46" s="1"/>
      <c r="B46" s="11">
        <f>ROW(B46) - ROW($B$2)</f>
        <v>44</v>
      </c>
      <c r="C46" s="12" t="s">
        <v>14</v>
      </c>
      <c r="D46" s="7" t="s">
        <v>68</v>
      </c>
      <c r="E46" s="8" t="s">
        <v>194</v>
      </c>
      <c r="F46" s="7" t="s">
        <v>540</v>
      </c>
      <c r="G46" s="8" t="s">
        <v>291</v>
      </c>
      <c r="H46" s="7" t="s">
        <v>445</v>
      </c>
      <c r="I46" s="8" t="s">
        <v>490</v>
      </c>
      <c r="J46" s="7">
        <v>3</v>
      </c>
      <c r="K46" s="7"/>
    </row>
    <row r="47" spans="1:11" ht="15.75" thickBot="1" x14ac:dyDescent="0.3">
      <c r="A47" s="1"/>
      <c r="B47" s="11">
        <f t="shared" si="0"/>
        <v>45</v>
      </c>
      <c r="C47" s="12" t="s">
        <v>14</v>
      </c>
      <c r="D47" s="9" t="s">
        <v>69</v>
      </c>
      <c r="E47" s="10" t="s">
        <v>195</v>
      </c>
      <c r="F47" s="7" t="s">
        <v>540</v>
      </c>
      <c r="G47" s="10" t="s">
        <v>292</v>
      </c>
      <c r="H47" s="9" t="s">
        <v>446</v>
      </c>
      <c r="I47" s="10" t="s">
        <v>490</v>
      </c>
      <c r="J47" s="9">
        <v>1</v>
      </c>
      <c r="K47" s="9"/>
    </row>
    <row r="48" spans="1:11" ht="24.75" thickBot="1" x14ac:dyDescent="0.3">
      <c r="A48" s="1"/>
      <c r="B48" s="11">
        <f>ROW(B48) - ROW($B$2)</f>
        <v>46</v>
      </c>
      <c r="C48" s="12" t="s">
        <v>14</v>
      </c>
      <c r="D48" s="7" t="s">
        <v>70</v>
      </c>
      <c r="E48" s="8" t="s">
        <v>196</v>
      </c>
      <c r="F48" s="7" t="s">
        <v>540</v>
      </c>
      <c r="G48" s="8" t="s">
        <v>293</v>
      </c>
      <c r="H48" s="7" t="s">
        <v>447</v>
      </c>
      <c r="I48" s="8" t="s">
        <v>491</v>
      </c>
      <c r="J48" s="7">
        <v>1</v>
      </c>
      <c r="K48" s="7"/>
    </row>
    <row r="49" spans="1:11" ht="15.75" thickBot="1" x14ac:dyDescent="0.3">
      <c r="A49" s="1"/>
      <c r="B49" s="11">
        <f t="shared" si="0"/>
        <v>47</v>
      </c>
      <c r="C49" s="13" t="s">
        <v>13</v>
      </c>
      <c r="D49" s="14" t="s">
        <v>71</v>
      </c>
      <c r="E49" s="15" t="s">
        <v>197</v>
      </c>
      <c r="F49" s="14" t="s">
        <v>285</v>
      </c>
      <c r="G49" s="15" t="s">
        <v>358</v>
      </c>
      <c r="H49" s="14" t="s">
        <v>431</v>
      </c>
      <c r="I49" s="15" t="s">
        <v>488</v>
      </c>
      <c r="J49" s="14">
        <v>1</v>
      </c>
      <c r="K49" s="16" t="s">
        <v>539</v>
      </c>
    </row>
    <row r="50" spans="1:11" ht="24.75" thickBot="1" x14ac:dyDescent="0.3">
      <c r="A50" s="1"/>
      <c r="B50" s="11">
        <f>ROW(B50) - ROW($B$2)</f>
        <v>48</v>
      </c>
      <c r="C50" s="12" t="s">
        <v>15</v>
      </c>
      <c r="D50" s="7" t="s">
        <v>72</v>
      </c>
      <c r="E50" s="8" t="s">
        <v>198</v>
      </c>
      <c r="F50" s="7" t="s">
        <v>294</v>
      </c>
      <c r="G50" s="8" t="s">
        <v>359</v>
      </c>
      <c r="H50" s="7" t="s">
        <v>448</v>
      </c>
      <c r="I50" s="8" t="s">
        <v>541</v>
      </c>
      <c r="J50" s="7">
        <v>1</v>
      </c>
      <c r="K50" s="7"/>
    </row>
    <row r="51" spans="1:11" ht="24.75" thickBot="1" x14ac:dyDescent="0.3">
      <c r="A51" s="1"/>
      <c r="B51" s="11">
        <f t="shared" si="0"/>
        <v>49</v>
      </c>
      <c r="C51" s="13" t="s">
        <v>15</v>
      </c>
      <c r="D51" s="9" t="s">
        <v>555</v>
      </c>
      <c r="E51" s="10" t="s">
        <v>199</v>
      </c>
      <c r="F51" s="9" t="s">
        <v>295</v>
      </c>
      <c r="G51" s="10" t="s">
        <v>360</v>
      </c>
      <c r="H51" s="9" t="s">
        <v>449</v>
      </c>
      <c r="I51" s="8" t="s">
        <v>541</v>
      </c>
      <c r="J51" s="9">
        <v>5</v>
      </c>
      <c r="K51" s="9"/>
    </row>
    <row r="52" spans="1:11" ht="24.75" thickBot="1" x14ac:dyDescent="0.3">
      <c r="A52" s="1"/>
      <c r="B52" s="11">
        <f>ROW(B52) - ROW($B$2)</f>
        <v>50</v>
      </c>
      <c r="C52" s="12" t="s">
        <v>15</v>
      </c>
      <c r="D52" s="7" t="s">
        <v>73</v>
      </c>
      <c r="E52" s="8" t="s">
        <v>200</v>
      </c>
      <c r="F52" s="7" t="s">
        <v>296</v>
      </c>
      <c r="G52" s="8" t="s">
        <v>361</v>
      </c>
      <c r="H52" s="7" t="s">
        <v>450</v>
      </c>
      <c r="I52" s="8" t="s">
        <v>541</v>
      </c>
      <c r="J52" s="7">
        <v>2</v>
      </c>
      <c r="K52" s="7"/>
    </row>
    <row r="53" spans="1:11" ht="15.75" thickBot="1" x14ac:dyDescent="0.3">
      <c r="A53" s="1"/>
      <c r="B53" s="11">
        <f t="shared" si="0"/>
        <v>51</v>
      </c>
      <c r="C53" s="13" t="s">
        <v>15</v>
      </c>
      <c r="D53" s="9" t="s">
        <v>74</v>
      </c>
      <c r="E53" s="10" t="s">
        <v>201</v>
      </c>
      <c r="F53" s="9" t="s">
        <v>297</v>
      </c>
      <c r="G53" s="10" t="s">
        <v>362</v>
      </c>
      <c r="H53" s="9" t="s">
        <v>450</v>
      </c>
      <c r="I53" s="8" t="s">
        <v>541</v>
      </c>
      <c r="J53" s="9">
        <v>1</v>
      </c>
      <c r="K53" s="9"/>
    </row>
    <row r="54" spans="1:11" ht="24.75" thickBot="1" x14ac:dyDescent="0.3">
      <c r="A54" s="1"/>
      <c r="B54" s="11">
        <f>ROW(B54) - ROW($B$2)</f>
        <v>52</v>
      </c>
      <c r="C54" s="12" t="s">
        <v>15</v>
      </c>
      <c r="D54" s="7" t="s">
        <v>75</v>
      </c>
      <c r="E54" s="8" t="s">
        <v>202</v>
      </c>
      <c r="F54" s="7" t="s">
        <v>295</v>
      </c>
      <c r="G54" s="8" t="s">
        <v>363</v>
      </c>
      <c r="H54" s="7" t="s">
        <v>449</v>
      </c>
      <c r="I54" s="8" t="s">
        <v>541</v>
      </c>
      <c r="J54" s="7">
        <v>1</v>
      </c>
      <c r="K54" s="7"/>
    </row>
    <row r="55" spans="1:11" ht="36.75" thickBot="1" x14ac:dyDescent="0.3">
      <c r="A55" s="1"/>
      <c r="B55" s="11">
        <f t="shared" si="0"/>
        <v>53</v>
      </c>
      <c r="C55" s="13" t="s">
        <v>16</v>
      </c>
      <c r="D55" s="9" t="s">
        <v>76</v>
      </c>
      <c r="E55" s="10" t="s">
        <v>203</v>
      </c>
      <c r="F55" s="9" t="s">
        <v>298</v>
      </c>
      <c r="G55" s="10" t="s">
        <v>298</v>
      </c>
      <c r="H55" s="9" t="s">
        <v>451</v>
      </c>
      <c r="I55" s="8" t="s">
        <v>541</v>
      </c>
      <c r="J55" s="9">
        <v>1</v>
      </c>
      <c r="K55" s="9"/>
    </row>
    <row r="56" spans="1:11" ht="15.75" thickBot="1" x14ac:dyDescent="0.3">
      <c r="A56" s="1"/>
      <c r="B56" s="11">
        <f>ROW(B56) - ROW($B$2)</f>
        <v>54</v>
      </c>
      <c r="C56" s="12" t="s">
        <v>17</v>
      </c>
      <c r="D56" s="7" t="s">
        <v>77</v>
      </c>
      <c r="E56" s="8" t="s">
        <v>204</v>
      </c>
      <c r="F56" s="7" t="s">
        <v>299</v>
      </c>
      <c r="G56" s="8" t="s">
        <v>364</v>
      </c>
      <c r="H56" s="7" t="s">
        <v>438</v>
      </c>
      <c r="I56" s="8" t="s">
        <v>541</v>
      </c>
      <c r="J56" s="7">
        <v>1</v>
      </c>
      <c r="K56" s="7"/>
    </row>
    <row r="57" spans="1:11" ht="15.75" thickBot="1" x14ac:dyDescent="0.3">
      <c r="A57" s="1"/>
      <c r="B57" s="11">
        <f t="shared" si="0"/>
        <v>55</v>
      </c>
      <c r="C57" s="13" t="s">
        <v>17</v>
      </c>
      <c r="D57" s="9" t="s">
        <v>78</v>
      </c>
      <c r="E57" s="10" t="s">
        <v>205</v>
      </c>
      <c r="F57" s="9" t="s">
        <v>300</v>
      </c>
      <c r="G57" s="10" t="s">
        <v>365</v>
      </c>
      <c r="H57" s="9" t="s">
        <v>452</v>
      </c>
      <c r="I57" s="8" t="s">
        <v>541</v>
      </c>
      <c r="J57" s="9">
        <v>6</v>
      </c>
      <c r="K57" s="9"/>
    </row>
    <row r="58" spans="1:11" ht="15.75" thickBot="1" x14ac:dyDescent="0.3">
      <c r="A58" s="1"/>
      <c r="B58" s="11">
        <f>ROW(B58) - ROW($B$2)</f>
        <v>56</v>
      </c>
      <c r="C58" s="12" t="s">
        <v>18</v>
      </c>
      <c r="D58" s="7" t="s">
        <v>79</v>
      </c>
      <c r="E58" s="8" t="s">
        <v>206</v>
      </c>
      <c r="F58" s="7" t="s">
        <v>301</v>
      </c>
      <c r="G58" s="8" t="s">
        <v>366</v>
      </c>
      <c r="H58" s="7" t="s">
        <v>434</v>
      </c>
      <c r="I58" s="8" t="s">
        <v>492</v>
      </c>
      <c r="J58" s="7">
        <v>7</v>
      </c>
      <c r="K58" s="7"/>
    </row>
    <row r="59" spans="1:11" ht="15.75" thickBot="1" x14ac:dyDescent="0.3">
      <c r="A59" s="1"/>
      <c r="B59" s="11">
        <f t="shared" si="0"/>
        <v>57</v>
      </c>
      <c r="C59" s="12" t="s">
        <v>18</v>
      </c>
      <c r="D59" s="9" t="s">
        <v>80</v>
      </c>
      <c r="E59" s="10" t="s">
        <v>207</v>
      </c>
      <c r="F59" s="9" t="s">
        <v>301</v>
      </c>
      <c r="G59" s="10" t="s">
        <v>367</v>
      </c>
      <c r="H59" s="9" t="s">
        <v>434</v>
      </c>
      <c r="I59" s="10" t="s">
        <v>493</v>
      </c>
      <c r="J59" s="9">
        <v>1</v>
      </c>
      <c r="K59" s="9"/>
    </row>
    <row r="60" spans="1:11" ht="15.75" thickBot="1" x14ac:dyDescent="0.3">
      <c r="A60" s="1"/>
      <c r="B60" s="11">
        <f>ROW(B60) - ROW($B$2)</f>
        <v>58</v>
      </c>
      <c r="C60" s="12" t="s">
        <v>19</v>
      </c>
      <c r="D60" s="7" t="s">
        <v>81</v>
      </c>
      <c r="E60" s="8" t="s">
        <v>208</v>
      </c>
      <c r="F60" s="7" t="s">
        <v>301</v>
      </c>
      <c r="G60" s="8" t="s">
        <v>368</v>
      </c>
      <c r="H60" s="7" t="s">
        <v>434</v>
      </c>
      <c r="I60" s="8" t="s">
        <v>494</v>
      </c>
      <c r="J60" s="7">
        <v>1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18</v>
      </c>
      <c r="D61" s="9" t="s">
        <v>82</v>
      </c>
      <c r="E61" s="10" t="s">
        <v>209</v>
      </c>
      <c r="F61" s="9" t="s">
        <v>301</v>
      </c>
      <c r="G61" s="10" t="s">
        <v>369</v>
      </c>
      <c r="H61" s="9" t="s">
        <v>434</v>
      </c>
      <c r="I61" s="10" t="s">
        <v>495</v>
      </c>
      <c r="J61" s="9">
        <v>1</v>
      </c>
      <c r="K61" s="9"/>
    </row>
    <row r="62" spans="1:11" ht="15.75" thickBot="1" x14ac:dyDescent="0.3">
      <c r="A62" s="1"/>
      <c r="B62" s="11">
        <f>ROW(B62) - ROW($B$2)</f>
        <v>60</v>
      </c>
      <c r="C62" s="12" t="s">
        <v>19</v>
      </c>
      <c r="D62" s="7" t="s">
        <v>83</v>
      </c>
      <c r="E62" s="8" t="s">
        <v>210</v>
      </c>
      <c r="F62" s="7" t="s">
        <v>301</v>
      </c>
      <c r="G62" s="8" t="s">
        <v>370</v>
      </c>
      <c r="H62" s="7" t="s">
        <v>434</v>
      </c>
      <c r="I62" s="8" t="s">
        <v>496</v>
      </c>
      <c r="J62" s="7">
        <v>1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18</v>
      </c>
      <c r="D63" s="9" t="s">
        <v>84</v>
      </c>
      <c r="E63" s="10" t="s">
        <v>211</v>
      </c>
      <c r="F63" s="9" t="s">
        <v>302</v>
      </c>
      <c r="G63" s="10" t="s">
        <v>371</v>
      </c>
      <c r="H63" s="9" t="s">
        <v>434</v>
      </c>
      <c r="I63" s="10" t="s">
        <v>497</v>
      </c>
      <c r="J63" s="9">
        <v>1</v>
      </c>
      <c r="K63" s="9"/>
    </row>
    <row r="64" spans="1:11" ht="15.75" thickBot="1" x14ac:dyDescent="0.3">
      <c r="A64" s="1"/>
      <c r="B64" s="11">
        <f>ROW(B64) - ROW($B$2)</f>
        <v>62</v>
      </c>
      <c r="C64" s="12" t="s">
        <v>19</v>
      </c>
      <c r="D64" s="7" t="s">
        <v>85</v>
      </c>
      <c r="E64" s="8" t="s">
        <v>212</v>
      </c>
      <c r="F64" s="7" t="s">
        <v>301</v>
      </c>
      <c r="G64" s="8" t="s">
        <v>372</v>
      </c>
      <c r="H64" s="7" t="s">
        <v>434</v>
      </c>
      <c r="I64" s="8" t="s">
        <v>498</v>
      </c>
      <c r="J64" s="7">
        <v>1</v>
      </c>
      <c r="K64" s="7"/>
    </row>
    <row r="65" spans="1:11" ht="15.75" thickBot="1" x14ac:dyDescent="0.3">
      <c r="A65" s="1"/>
      <c r="B65" s="11">
        <f t="shared" si="0"/>
        <v>63</v>
      </c>
      <c r="C65" s="13" t="s">
        <v>18</v>
      </c>
      <c r="D65" s="9" t="s">
        <v>86</v>
      </c>
      <c r="E65" s="10" t="s">
        <v>213</v>
      </c>
      <c r="F65" s="9" t="s">
        <v>301</v>
      </c>
      <c r="G65" s="10" t="s">
        <v>373</v>
      </c>
      <c r="H65" s="9" t="s">
        <v>434</v>
      </c>
      <c r="I65" s="10" t="s">
        <v>499</v>
      </c>
      <c r="J65" s="9">
        <v>1</v>
      </c>
      <c r="K65" s="9"/>
    </row>
    <row r="66" spans="1:11" ht="15.75" thickBot="1" x14ac:dyDescent="0.3">
      <c r="A66" s="1"/>
      <c r="B66" s="11">
        <f>ROW(B66) - ROW($B$2)</f>
        <v>64</v>
      </c>
      <c r="C66" s="12" t="s">
        <v>18</v>
      </c>
      <c r="D66" s="7" t="s">
        <v>87</v>
      </c>
      <c r="E66" s="8" t="s">
        <v>214</v>
      </c>
      <c r="F66" s="7" t="s">
        <v>301</v>
      </c>
      <c r="G66" s="8" t="s">
        <v>374</v>
      </c>
      <c r="H66" s="7" t="s">
        <v>434</v>
      </c>
      <c r="I66" s="8" t="s">
        <v>495</v>
      </c>
      <c r="J66" s="7">
        <v>1</v>
      </c>
      <c r="K66" s="7"/>
    </row>
    <row r="67" spans="1:11" ht="15.75" thickBot="1" x14ac:dyDescent="0.3">
      <c r="A67" s="1"/>
      <c r="B67" s="11">
        <f t="shared" si="0"/>
        <v>65</v>
      </c>
      <c r="C67" s="13" t="s">
        <v>18</v>
      </c>
      <c r="D67" s="9" t="s">
        <v>88</v>
      </c>
      <c r="E67" s="10" t="s">
        <v>215</v>
      </c>
      <c r="F67" s="9" t="s">
        <v>301</v>
      </c>
      <c r="G67" s="10" t="s">
        <v>375</v>
      </c>
      <c r="H67" s="9" t="s">
        <v>434</v>
      </c>
      <c r="I67" s="10" t="s">
        <v>500</v>
      </c>
      <c r="J67" s="9">
        <v>1</v>
      </c>
      <c r="K67" s="9"/>
    </row>
    <row r="68" spans="1:11" ht="15.75" thickBot="1" x14ac:dyDescent="0.3">
      <c r="A68" s="1"/>
      <c r="B68" s="11">
        <f>ROW(B68) - ROW($B$2)</f>
        <v>66</v>
      </c>
      <c r="C68" s="12" t="s">
        <v>18</v>
      </c>
      <c r="D68" s="7" t="s">
        <v>89</v>
      </c>
      <c r="E68" s="8" t="s">
        <v>216</v>
      </c>
      <c r="F68" s="7" t="s">
        <v>301</v>
      </c>
      <c r="G68" s="8" t="s">
        <v>376</v>
      </c>
      <c r="H68" s="7" t="s">
        <v>434</v>
      </c>
      <c r="I68" s="8" t="s">
        <v>501</v>
      </c>
      <c r="J68" s="7">
        <v>1</v>
      </c>
      <c r="K68" s="7"/>
    </row>
    <row r="69" spans="1:11" ht="15.75" thickBot="1" x14ac:dyDescent="0.3">
      <c r="A69" s="1"/>
      <c r="B69" s="11">
        <f t="shared" si="0"/>
        <v>67</v>
      </c>
      <c r="C69" s="13" t="s">
        <v>18</v>
      </c>
      <c r="D69" s="9" t="s">
        <v>556</v>
      </c>
      <c r="E69" s="10" t="s">
        <v>217</v>
      </c>
      <c r="F69" s="9" t="s">
        <v>301</v>
      </c>
      <c r="G69" s="10" t="s">
        <v>377</v>
      </c>
      <c r="H69" s="9" t="s">
        <v>434</v>
      </c>
      <c r="I69" s="10" t="s">
        <v>502</v>
      </c>
      <c r="J69" s="9">
        <v>6</v>
      </c>
      <c r="K69" s="9"/>
    </row>
    <row r="70" spans="1:11" ht="15.75" thickBot="1" x14ac:dyDescent="0.3">
      <c r="A70" s="1"/>
      <c r="B70" s="11">
        <f>ROW(B70) - ROW($B$2)</f>
        <v>68</v>
      </c>
      <c r="C70" s="12" t="s">
        <v>18</v>
      </c>
      <c r="D70" s="7" t="s">
        <v>90</v>
      </c>
      <c r="E70" s="8" t="s">
        <v>218</v>
      </c>
      <c r="F70" s="7" t="s">
        <v>302</v>
      </c>
      <c r="G70" s="8" t="s">
        <v>378</v>
      </c>
      <c r="H70" s="7" t="s">
        <v>434</v>
      </c>
      <c r="I70" s="8" t="s">
        <v>503</v>
      </c>
      <c r="J70" s="7">
        <v>1</v>
      </c>
      <c r="K70" s="7"/>
    </row>
    <row r="71" spans="1:11" ht="36.75" thickBot="1" x14ac:dyDescent="0.3">
      <c r="A71" s="1"/>
      <c r="B71" s="11">
        <f t="shared" si="0"/>
        <v>69</v>
      </c>
      <c r="C71" s="13" t="s">
        <v>19</v>
      </c>
      <c r="D71" s="9" t="s">
        <v>91</v>
      </c>
      <c r="E71" s="10" t="s">
        <v>219</v>
      </c>
      <c r="F71" s="9" t="s">
        <v>301</v>
      </c>
      <c r="G71" s="10" t="s">
        <v>379</v>
      </c>
      <c r="H71" s="9" t="s">
        <v>434</v>
      </c>
      <c r="I71" s="10" t="s">
        <v>504</v>
      </c>
      <c r="J71" s="9">
        <v>19</v>
      </c>
      <c r="K71" s="9"/>
    </row>
    <row r="72" spans="1:11" ht="15.75" thickBot="1" x14ac:dyDescent="0.3">
      <c r="A72" s="1"/>
      <c r="B72" s="11">
        <f>ROW(B72) - ROW($B$2)</f>
        <v>70</v>
      </c>
      <c r="C72" s="12" t="s">
        <v>18</v>
      </c>
      <c r="D72" s="7" t="s">
        <v>92</v>
      </c>
      <c r="E72" s="8" t="s">
        <v>220</v>
      </c>
      <c r="F72" s="7" t="s">
        <v>301</v>
      </c>
      <c r="G72" s="8" t="s">
        <v>380</v>
      </c>
      <c r="H72" s="7" t="s">
        <v>434</v>
      </c>
      <c r="I72" s="8" t="s">
        <v>505</v>
      </c>
      <c r="J72" s="7">
        <v>2</v>
      </c>
      <c r="K72" s="7"/>
    </row>
    <row r="73" spans="1:11" ht="15.75" thickBot="1" x14ac:dyDescent="0.3">
      <c r="A73" s="1"/>
      <c r="B73" s="11">
        <f t="shared" si="0"/>
        <v>71</v>
      </c>
      <c r="C73" s="13" t="s">
        <v>19</v>
      </c>
      <c r="D73" s="9" t="s">
        <v>93</v>
      </c>
      <c r="E73" s="10" t="s">
        <v>221</v>
      </c>
      <c r="F73" s="9" t="s">
        <v>301</v>
      </c>
      <c r="G73" s="10" t="s">
        <v>381</v>
      </c>
      <c r="H73" s="9" t="s">
        <v>434</v>
      </c>
      <c r="I73" s="10" t="s">
        <v>506</v>
      </c>
      <c r="J73" s="9">
        <v>1</v>
      </c>
      <c r="K73" s="9"/>
    </row>
    <row r="74" spans="1:11" ht="15.75" thickBot="1" x14ac:dyDescent="0.3">
      <c r="A74" s="1"/>
      <c r="B74" s="11">
        <f>ROW(B74) - ROW($B$2)</f>
        <v>72</v>
      </c>
      <c r="C74" s="12" t="s">
        <v>18</v>
      </c>
      <c r="D74" s="7" t="s">
        <v>94</v>
      </c>
      <c r="E74" s="8" t="s">
        <v>222</v>
      </c>
      <c r="F74" s="7" t="s">
        <v>301</v>
      </c>
      <c r="G74" s="8" t="s">
        <v>382</v>
      </c>
      <c r="H74" s="7" t="s">
        <v>434</v>
      </c>
      <c r="I74" s="8" t="s">
        <v>507</v>
      </c>
      <c r="J74" s="7">
        <v>1</v>
      </c>
      <c r="K74" s="7"/>
    </row>
    <row r="75" spans="1:11" ht="24.75" thickBot="1" x14ac:dyDescent="0.3">
      <c r="A75" s="1"/>
      <c r="B75" s="11">
        <f t="shared" si="0"/>
        <v>73</v>
      </c>
      <c r="C75" s="13" t="s">
        <v>18</v>
      </c>
      <c r="D75" s="9" t="s">
        <v>95</v>
      </c>
      <c r="E75" s="10" t="s">
        <v>223</v>
      </c>
      <c r="F75" s="9" t="s">
        <v>302</v>
      </c>
      <c r="G75" s="10" t="s">
        <v>383</v>
      </c>
      <c r="H75" s="9" t="s">
        <v>434</v>
      </c>
      <c r="I75" s="10" t="s">
        <v>504</v>
      </c>
      <c r="J75" s="9">
        <v>10</v>
      </c>
      <c r="K75" s="9"/>
    </row>
    <row r="76" spans="1:11" ht="15.75" thickBot="1" x14ac:dyDescent="0.3">
      <c r="A76" s="1"/>
      <c r="B76" s="11">
        <f>ROW(B76) - ROW($B$2)</f>
        <v>74</v>
      </c>
      <c r="C76" s="12" t="s">
        <v>19</v>
      </c>
      <c r="D76" s="7" t="s">
        <v>96</v>
      </c>
      <c r="E76" s="8" t="s">
        <v>224</v>
      </c>
      <c r="F76" s="7" t="s">
        <v>302</v>
      </c>
      <c r="G76" s="8" t="s">
        <v>384</v>
      </c>
      <c r="H76" s="7" t="s">
        <v>434</v>
      </c>
      <c r="I76" s="8" t="s">
        <v>508</v>
      </c>
      <c r="J76" s="7">
        <v>1</v>
      </c>
      <c r="K76" s="7"/>
    </row>
    <row r="77" spans="1:11" ht="15.75" thickBot="1" x14ac:dyDescent="0.3">
      <c r="A77" s="1"/>
      <c r="B77" s="11">
        <f t="shared" si="0"/>
        <v>75</v>
      </c>
      <c r="C77" s="13" t="s">
        <v>18</v>
      </c>
      <c r="D77" s="9" t="s">
        <v>97</v>
      </c>
      <c r="E77" s="10" t="s">
        <v>225</v>
      </c>
      <c r="F77" s="9" t="s">
        <v>302</v>
      </c>
      <c r="G77" s="10" t="s">
        <v>385</v>
      </c>
      <c r="H77" s="9" t="s">
        <v>434</v>
      </c>
      <c r="I77" s="10" t="s">
        <v>509</v>
      </c>
      <c r="J77" s="9">
        <v>1</v>
      </c>
      <c r="K77" s="9"/>
    </row>
    <row r="78" spans="1:11" ht="15.75" thickBot="1" x14ac:dyDescent="0.3">
      <c r="A78" s="1"/>
      <c r="B78" s="11">
        <f>ROW(B78) - ROW($B$2)</f>
        <v>76</v>
      </c>
      <c r="C78" s="12" t="s">
        <v>19</v>
      </c>
      <c r="D78" s="7" t="s">
        <v>98</v>
      </c>
      <c r="E78" s="8" t="s">
        <v>226</v>
      </c>
      <c r="F78" s="7" t="s">
        <v>302</v>
      </c>
      <c r="G78" s="8" t="s">
        <v>386</v>
      </c>
      <c r="H78" s="7" t="s">
        <v>434</v>
      </c>
      <c r="I78" s="8" t="s">
        <v>510</v>
      </c>
      <c r="J78" s="7">
        <v>1</v>
      </c>
      <c r="K78" s="7"/>
    </row>
    <row r="79" spans="1:11" ht="15.75" thickBot="1" x14ac:dyDescent="0.3">
      <c r="A79" s="1"/>
      <c r="B79" s="11">
        <f t="shared" si="0"/>
        <v>77</v>
      </c>
      <c r="C79" s="13" t="s">
        <v>19</v>
      </c>
      <c r="D79" s="9" t="s">
        <v>99</v>
      </c>
      <c r="E79" s="10" t="s">
        <v>227</v>
      </c>
      <c r="F79" s="9" t="s">
        <v>302</v>
      </c>
      <c r="G79" s="10" t="s">
        <v>387</v>
      </c>
      <c r="H79" s="9" t="s">
        <v>434</v>
      </c>
      <c r="I79" s="10" t="s">
        <v>511</v>
      </c>
      <c r="J79" s="9">
        <v>1</v>
      </c>
      <c r="K79" s="9"/>
    </row>
    <row r="80" spans="1:11" ht="15.75" thickBot="1" x14ac:dyDescent="0.3">
      <c r="A80" s="1"/>
      <c r="B80" s="11">
        <f>ROW(B80) - ROW($B$2)</f>
        <v>78</v>
      </c>
      <c r="C80" s="12" t="s">
        <v>19</v>
      </c>
      <c r="D80" s="7" t="s">
        <v>100</v>
      </c>
      <c r="E80" s="8" t="s">
        <v>228</v>
      </c>
      <c r="F80" s="7" t="s">
        <v>302</v>
      </c>
      <c r="G80" s="8" t="s">
        <v>388</v>
      </c>
      <c r="H80" s="7" t="s">
        <v>434</v>
      </c>
      <c r="I80" s="8" t="s">
        <v>512</v>
      </c>
      <c r="J80" s="7">
        <v>1</v>
      </c>
      <c r="K80" s="7"/>
    </row>
    <row r="81" spans="1:11" ht="15.75" thickBot="1" x14ac:dyDescent="0.3">
      <c r="A81" s="1"/>
      <c r="B81" s="11">
        <f t="shared" si="0"/>
        <v>79</v>
      </c>
      <c r="C81" s="13" t="s">
        <v>18</v>
      </c>
      <c r="D81" s="9" t="s">
        <v>101</v>
      </c>
      <c r="E81" s="10" t="s">
        <v>229</v>
      </c>
      <c r="F81" s="9" t="s">
        <v>302</v>
      </c>
      <c r="G81" s="10" t="s">
        <v>389</v>
      </c>
      <c r="H81" s="9" t="s">
        <v>434</v>
      </c>
      <c r="I81" s="10" t="s">
        <v>495</v>
      </c>
      <c r="J81" s="9">
        <v>8</v>
      </c>
      <c r="K81" s="9"/>
    </row>
    <row r="82" spans="1:11" ht="15.75" thickBot="1" x14ac:dyDescent="0.3">
      <c r="A82" s="1"/>
      <c r="B82" s="11">
        <f>ROW(B82) - ROW($B$2)</f>
        <v>80</v>
      </c>
      <c r="C82" s="12" t="s">
        <v>18</v>
      </c>
      <c r="D82" s="7" t="s">
        <v>102</v>
      </c>
      <c r="E82" s="8" t="s">
        <v>230</v>
      </c>
      <c r="F82" s="7" t="s">
        <v>302</v>
      </c>
      <c r="G82" s="8" t="s">
        <v>390</v>
      </c>
      <c r="H82" s="7" t="s">
        <v>434</v>
      </c>
      <c r="I82" s="8" t="s">
        <v>513</v>
      </c>
      <c r="J82" s="7">
        <v>4</v>
      </c>
      <c r="K82" s="7"/>
    </row>
    <row r="83" spans="1:11" ht="15.75" thickBot="1" x14ac:dyDescent="0.3">
      <c r="A83" s="1"/>
      <c r="B83" s="11">
        <f t="shared" si="0"/>
        <v>81</v>
      </c>
      <c r="C83" s="13" t="s">
        <v>19</v>
      </c>
      <c r="D83" s="9" t="s">
        <v>103</v>
      </c>
      <c r="E83" s="10" t="s">
        <v>231</v>
      </c>
      <c r="F83" s="9" t="s">
        <v>302</v>
      </c>
      <c r="G83" s="10" t="s">
        <v>391</v>
      </c>
      <c r="H83" s="9" t="s">
        <v>434</v>
      </c>
      <c r="I83" s="10" t="s">
        <v>500</v>
      </c>
      <c r="J83" s="9">
        <v>5</v>
      </c>
      <c r="K83" s="9"/>
    </row>
    <row r="84" spans="1:11" ht="15.75" thickBot="1" x14ac:dyDescent="0.3">
      <c r="A84" s="1"/>
      <c r="B84" s="11">
        <f>ROW(B84) - ROW($B$2)</f>
        <v>82</v>
      </c>
      <c r="C84" s="12" t="s">
        <v>19</v>
      </c>
      <c r="D84" s="7" t="s">
        <v>104</v>
      </c>
      <c r="E84" s="8" t="s">
        <v>232</v>
      </c>
      <c r="F84" s="7" t="s">
        <v>302</v>
      </c>
      <c r="G84" s="8" t="s">
        <v>392</v>
      </c>
      <c r="H84" s="7" t="s">
        <v>434</v>
      </c>
      <c r="I84" s="8" t="s">
        <v>514</v>
      </c>
      <c r="J84" s="7">
        <v>1</v>
      </c>
      <c r="K84" s="7"/>
    </row>
    <row r="85" spans="1:11" ht="15.75" thickBot="1" x14ac:dyDescent="0.3">
      <c r="A85" s="1"/>
      <c r="B85" s="11">
        <f t="shared" si="0"/>
        <v>83</v>
      </c>
      <c r="C85" s="12" t="s">
        <v>19</v>
      </c>
      <c r="D85" s="9" t="s">
        <v>105</v>
      </c>
      <c r="E85" s="10" t="s">
        <v>233</v>
      </c>
      <c r="F85" s="9" t="s">
        <v>302</v>
      </c>
      <c r="G85" s="10" t="s">
        <v>538</v>
      </c>
      <c r="H85" s="7" t="s">
        <v>434</v>
      </c>
      <c r="I85" s="10" t="s">
        <v>515</v>
      </c>
      <c r="J85" s="9">
        <v>2</v>
      </c>
      <c r="K85" s="9"/>
    </row>
    <row r="86" spans="1:11" ht="15.75" thickBot="1" x14ac:dyDescent="0.3">
      <c r="A86" s="1"/>
      <c r="B86" s="11">
        <f>ROW(B86) - ROW($B$2)</f>
        <v>84</v>
      </c>
      <c r="C86" s="12" t="s">
        <v>18</v>
      </c>
      <c r="D86" s="7" t="s">
        <v>106</v>
      </c>
      <c r="E86" s="8" t="s">
        <v>234</v>
      </c>
      <c r="F86" s="7" t="s">
        <v>302</v>
      </c>
      <c r="G86" s="8" t="s">
        <v>393</v>
      </c>
      <c r="H86" s="7" t="s">
        <v>434</v>
      </c>
      <c r="I86" s="8" t="s">
        <v>516</v>
      </c>
      <c r="J86" s="7">
        <v>1</v>
      </c>
      <c r="K86" s="7"/>
    </row>
    <row r="87" spans="1:11" ht="15.75" thickBot="1" x14ac:dyDescent="0.3">
      <c r="A87" s="1"/>
      <c r="B87" s="11">
        <f t="shared" si="0"/>
        <v>85</v>
      </c>
      <c r="C87" s="13" t="s">
        <v>18</v>
      </c>
      <c r="D87" s="9" t="s">
        <v>107</v>
      </c>
      <c r="E87" s="10" t="s">
        <v>235</v>
      </c>
      <c r="F87" s="9" t="s">
        <v>302</v>
      </c>
      <c r="G87" s="10" t="s">
        <v>394</v>
      </c>
      <c r="H87" s="9" t="s">
        <v>434</v>
      </c>
      <c r="I87" s="10" t="s">
        <v>517</v>
      </c>
      <c r="J87" s="9">
        <v>1</v>
      </c>
      <c r="K87" s="9"/>
    </row>
    <row r="88" spans="1:11" ht="15.75" thickBot="1" x14ac:dyDescent="0.3">
      <c r="A88" s="1"/>
      <c r="B88" s="11">
        <f>ROW(B88) - ROW($B$2)</f>
        <v>86</v>
      </c>
      <c r="C88" s="12" t="s">
        <v>19</v>
      </c>
      <c r="D88" s="7" t="s">
        <v>108</v>
      </c>
      <c r="E88" s="8" t="s">
        <v>236</v>
      </c>
      <c r="F88" s="7" t="s">
        <v>302</v>
      </c>
      <c r="G88" s="8" t="s">
        <v>395</v>
      </c>
      <c r="H88" s="7" t="s">
        <v>434</v>
      </c>
      <c r="I88" s="8" t="s">
        <v>518</v>
      </c>
      <c r="J88" s="7">
        <v>1</v>
      </c>
      <c r="K88" s="7"/>
    </row>
    <row r="89" spans="1:11" ht="15.75" thickBot="1" x14ac:dyDescent="0.3">
      <c r="A89" s="1"/>
      <c r="B89" s="11">
        <f t="shared" si="0"/>
        <v>87</v>
      </c>
      <c r="C89" s="13" t="s">
        <v>19</v>
      </c>
      <c r="D89" s="9" t="s">
        <v>109</v>
      </c>
      <c r="E89" s="10" t="s">
        <v>237</v>
      </c>
      <c r="F89" s="9" t="s">
        <v>301</v>
      </c>
      <c r="G89" s="10" t="s">
        <v>396</v>
      </c>
      <c r="H89" s="9" t="s">
        <v>434</v>
      </c>
      <c r="I89" s="10" t="s">
        <v>519</v>
      </c>
      <c r="J89" s="9">
        <v>1</v>
      </c>
      <c r="K89" s="9"/>
    </row>
    <row r="90" spans="1:11" ht="15.75" thickBot="1" x14ac:dyDescent="0.3">
      <c r="A90" s="1"/>
      <c r="B90" s="11">
        <f>ROW(B90) - ROW($B$2)</f>
        <v>88</v>
      </c>
      <c r="C90" s="12" t="s">
        <v>19</v>
      </c>
      <c r="D90" s="7" t="s">
        <v>110</v>
      </c>
      <c r="E90" s="8" t="s">
        <v>238</v>
      </c>
      <c r="F90" s="7" t="s">
        <v>301</v>
      </c>
      <c r="G90" s="8" t="s">
        <v>397</v>
      </c>
      <c r="H90" s="7" t="s">
        <v>434</v>
      </c>
      <c r="I90" s="8" t="s">
        <v>520</v>
      </c>
      <c r="J90" s="7">
        <v>1</v>
      </c>
      <c r="K90" s="7"/>
    </row>
    <row r="91" spans="1:11" ht="15.75" thickBot="1" x14ac:dyDescent="0.3">
      <c r="A91" s="1"/>
      <c r="B91" s="11">
        <f t="shared" si="0"/>
        <v>89</v>
      </c>
      <c r="C91" s="13" t="s">
        <v>18</v>
      </c>
      <c r="D91" s="9" t="s">
        <v>111</v>
      </c>
      <c r="E91" s="10" t="s">
        <v>239</v>
      </c>
      <c r="F91" s="9" t="s">
        <v>302</v>
      </c>
      <c r="G91" s="10" t="s">
        <v>398</v>
      </c>
      <c r="H91" s="9" t="s">
        <v>434</v>
      </c>
      <c r="I91" s="10" t="s">
        <v>521</v>
      </c>
      <c r="J91" s="9">
        <v>1</v>
      </c>
      <c r="K91" s="9"/>
    </row>
    <row r="92" spans="1:11" ht="15.75" thickBot="1" x14ac:dyDescent="0.3">
      <c r="A92" s="1"/>
      <c r="B92" s="11">
        <f>ROW(B92) - ROW($B$2)</f>
        <v>90</v>
      </c>
      <c r="C92" s="12" t="s">
        <v>19</v>
      </c>
      <c r="D92" s="7" t="s">
        <v>112</v>
      </c>
      <c r="E92" s="8" t="s">
        <v>240</v>
      </c>
      <c r="F92" s="7" t="s">
        <v>302</v>
      </c>
      <c r="G92" s="8" t="s">
        <v>399</v>
      </c>
      <c r="H92" s="7" t="s">
        <v>434</v>
      </c>
      <c r="I92" s="8" t="s">
        <v>522</v>
      </c>
      <c r="J92" s="7">
        <v>3</v>
      </c>
      <c r="K92" s="7"/>
    </row>
    <row r="93" spans="1:11" ht="15.75" thickBot="1" x14ac:dyDescent="0.3">
      <c r="A93" s="1"/>
      <c r="B93" s="11">
        <f t="shared" si="0"/>
        <v>91</v>
      </c>
      <c r="C93" s="13" t="s">
        <v>18</v>
      </c>
      <c r="D93" s="9" t="s">
        <v>113</v>
      </c>
      <c r="E93" s="10" t="s">
        <v>241</v>
      </c>
      <c r="F93" s="9" t="s">
        <v>302</v>
      </c>
      <c r="G93" s="10" t="s">
        <v>400</v>
      </c>
      <c r="H93" s="9" t="s">
        <v>434</v>
      </c>
      <c r="I93" s="10" t="s">
        <v>523</v>
      </c>
      <c r="J93" s="9">
        <v>6</v>
      </c>
      <c r="K93" s="9"/>
    </row>
    <row r="94" spans="1:11" ht="15.75" thickBot="1" x14ac:dyDescent="0.3">
      <c r="A94" s="1"/>
      <c r="B94" s="11">
        <f>ROW(B94) - ROW($B$2)</f>
        <v>92</v>
      </c>
      <c r="C94" s="12" t="s">
        <v>18</v>
      </c>
      <c r="D94" s="7" t="s">
        <v>114</v>
      </c>
      <c r="E94" s="8" t="s">
        <v>242</v>
      </c>
      <c r="F94" s="7" t="s">
        <v>302</v>
      </c>
      <c r="G94" s="8" t="s">
        <v>401</v>
      </c>
      <c r="H94" s="7" t="s">
        <v>434</v>
      </c>
      <c r="I94" s="8" t="s">
        <v>524</v>
      </c>
      <c r="J94" s="7">
        <v>1</v>
      </c>
      <c r="K94" s="7"/>
    </row>
    <row r="95" spans="1:11" ht="15.75" thickBot="1" x14ac:dyDescent="0.3">
      <c r="A95" s="1"/>
      <c r="B95" s="11">
        <f t="shared" si="0"/>
        <v>93</v>
      </c>
      <c r="C95" s="12" t="s">
        <v>18</v>
      </c>
      <c r="D95" s="9" t="s">
        <v>115</v>
      </c>
      <c r="E95" s="10" t="s">
        <v>243</v>
      </c>
      <c r="F95" s="9" t="s">
        <v>302</v>
      </c>
      <c r="G95" s="10" t="s">
        <v>402</v>
      </c>
      <c r="H95" s="9" t="s">
        <v>434</v>
      </c>
      <c r="I95" s="10" t="s">
        <v>525</v>
      </c>
      <c r="J95" s="9">
        <v>1</v>
      </c>
      <c r="K95" s="9"/>
    </row>
    <row r="96" spans="1:11" ht="15.75" thickBot="1" x14ac:dyDescent="0.3">
      <c r="A96" s="1"/>
      <c r="B96" s="11">
        <f>ROW(B96) - ROW($B$2)</f>
        <v>94</v>
      </c>
      <c r="C96" s="12" t="s">
        <v>18</v>
      </c>
      <c r="D96" s="7" t="s">
        <v>116</v>
      </c>
      <c r="E96" s="8" t="s">
        <v>244</v>
      </c>
      <c r="F96" s="7" t="s">
        <v>302</v>
      </c>
      <c r="G96" s="8" t="s">
        <v>403</v>
      </c>
      <c r="H96" s="7" t="s">
        <v>434</v>
      </c>
      <c r="I96" s="8" t="s">
        <v>526</v>
      </c>
      <c r="J96" s="7">
        <v>1</v>
      </c>
      <c r="K96" s="7"/>
    </row>
    <row r="97" spans="1:11" ht="15.75" thickBot="1" x14ac:dyDescent="0.3">
      <c r="A97" s="1"/>
      <c r="B97" s="11">
        <f t="shared" si="0"/>
        <v>95</v>
      </c>
      <c r="C97" s="13" t="s">
        <v>18</v>
      </c>
      <c r="D97" s="9" t="s">
        <v>117</v>
      </c>
      <c r="E97" s="10" t="s">
        <v>245</v>
      </c>
      <c r="F97" s="9" t="s">
        <v>302</v>
      </c>
      <c r="G97" s="10" t="s">
        <v>404</v>
      </c>
      <c r="H97" s="9" t="s">
        <v>434</v>
      </c>
      <c r="I97" s="10" t="s">
        <v>527</v>
      </c>
      <c r="J97" s="9">
        <v>2</v>
      </c>
      <c r="K97" s="9"/>
    </row>
    <row r="98" spans="1:11" ht="15.75" thickBot="1" x14ac:dyDescent="0.3">
      <c r="A98" s="1"/>
      <c r="B98" s="11">
        <f>ROW(B98) - ROW($B$2)</f>
        <v>96</v>
      </c>
      <c r="C98" s="12" t="s">
        <v>18</v>
      </c>
      <c r="D98" s="14" t="s">
        <v>118</v>
      </c>
      <c r="E98" s="15" t="s">
        <v>223</v>
      </c>
      <c r="F98" s="14" t="s">
        <v>302</v>
      </c>
      <c r="G98" s="15" t="s">
        <v>383</v>
      </c>
      <c r="H98" s="14" t="s">
        <v>434</v>
      </c>
      <c r="I98" s="15" t="s">
        <v>488</v>
      </c>
      <c r="J98" s="14">
        <v>2</v>
      </c>
      <c r="K98" s="16" t="s">
        <v>539</v>
      </c>
    </row>
    <row r="99" spans="1:11" ht="36.75" thickBot="1" x14ac:dyDescent="0.3">
      <c r="A99" s="1"/>
      <c r="B99" s="11">
        <f t="shared" si="0"/>
        <v>97</v>
      </c>
      <c r="C99" s="13" t="s">
        <v>19</v>
      </c>
      <c r="D99" s="9" t="s">
        <v>119</v>
      </c>
      <c r="E99" s="10" t="s">
        <v>246</v>
      </c>
      <c r="F99" s="9" t="s">
        <v>301</v>
      </c>
      <c r="G99" s="10" t="s">
        <v>405</v>
      </c>
      <c r="H99" s="9" t="s">
        <v>434</v>
      </c>
      <c r="I99" s="10" t="s">
        <v>528</v>
      </c>
      <c r="J99" s="9">
        <v>1</v>
      </c>
      <c r="K99" s="9"/>
    </row>
    <row r="100" spans="1:11" ht="15.75" thickBot="1" x14ac:dyDescent="0.3">
      <c r="A100" s="1"/>
      <c r="B100" s="11">
        <f>ROW(B100) - ROW($B$2)</f>
        <v>98</v>
      </c>
      <c r="C100" s="12" t="s">
        <v>19</v>
      </c>
      <c r="D100" s="7" t="s">
        <v>120</v>
      </c>
      <c r="E100" s="8" t="s">
        <v>247</v>
      </c>
      <c r="F100" s="7" t="s">
        <v>302</v>
      </c>
      <c r="G100" s="8" t="s">
        <v>406</v>
      </c>
      <c r="H100" s="7" t="s">
        <v>434</v>
      </c>
      <c r="I100" s="8" t="s">
        <v>529</v>
      </c>
      <c r="J100" s="7">
        <v>1</v>
      </c>
      <c r="K100" s="7"/>
    </row>
    <row r="101" spans="1:11" ht="15.75" thickBot="1" x14ac:dyDescent="0.3">
      <c r="A101" s="1"/>
      <c r="B101" s="11">
        <f t="shared" si="0"/>
        <v>99</v>
      </c>
      <c r="C101" s="13" t="s">
        <v>18</v>
      </c>
      <c r="D101" s="9" t="s">
        <v>121</v>
      </c>
      <c r="E101" s="10" t="s">
        <v>248</v>
      </c>
      <c r="F101" s="9" t="s">
        <v>302</v>
      </c>
      <c r="G101" s="10" t="s">
        <v>407</v>
      </c>
      <c r="H101" s="9" t="s">
        <v>434</v>
      </c>
      <c r="I101" s="10" t="s">
        <v>530</v>
      </c>
      <c r="J101" s="9">
        <v>1</v>
      </c>
      <c r="K101" s="9"/>
    </row>
    <row r="102" spans="1:11" ht="15.75" thickBot="1" x14ac:dyDescent="0.3">
      <c r="A102" s="1"/>
      <c r="B102" s="11">
        <f>ROW(B102) - ROW($B$2)</f>
        <v>100</v>
      </c>
      <c r="C102" s="12" t="s">
        <v>18</v>
      </c>
      <c r="D102" s="7" t="s">
        <v>122</v>
      </c>
      <c r="E102" s="8" t="s">
        <v>249</v>
      </c>
      <c r="F102" s="7" t="s">
        <v>302</v>
      </c>
      <c r="G102" s="8" t="s">
        <v>408</v>
      </c>
      <c r="H102" s="7" t="s">
        <v>434</v>
      </c>
      <c r="I102" s="8" t="s">
        <v>501</v>
      </c>
      <c r="J102" s="7">
        <v>1</v>
      </c>
      <c r="K102" s="7"/>
    </row>
    <row r="103" spans="1:11" ht="15.75" thickBot="1" x14ac:dyDescent="0.3">
      <c r="A103" s="1"/>
      <c r="B103" s="11">
        <f t="shared" si="0"/>
        <v>101</v>
      </c>
      <c r="C103" s="13" t="s">
        <v>18</v>
      </c>
      <c r="D103" s="14" t="s">
        <v>123</v>
      </c>
      <c r="E103" s="15" t="s">
        <v>241</v>
      </c>
      <c r="F103" s="14" t="s">
        <v>302</v>
      </c>
      <c r="G103" s="15" t="s">
        <v>400</v>
      </c>
      <c r="H103" s="14" t="s">
        <v>434</v>
      </c>
      <c r="I103" s="15" t="s">
        <v>488</v>
      </c>
      <c r="J103" s="14">
        <v>1</v>
      </c>
      <c r="K103" s="16" t="s">
        <v>539</v>
      </c>
    </row>
    <row r="104" spans="1:11" ht="15.75" thickBot="1" x14ac:dyDescent="0.3">
      <c r="A104" s="1"/>
      <c r="B104" s="11">
        <f>ROW(B104) - ROW($B$2)</f>
        <v>102</v>
      </c>
      <c r="C104" s="12" t="s">
        <v>19</v>
      </c>
      <c r="D104" s="7" t="s">
        <v>124</v>
      </c>
      <c r="E104" s="8" t="s">
        <v>250</v>
      </c>
      <c r="F104" s="7" t="s">
        <v>302</v>
      </c>
      <c r="G104" s="8" t="s">
        <v>409</v>
      </c>
      <c r="H104" s="7" t="s">
        <v>434</v>
      </c>
      <c r="I104" s="8" t="s">
        <v>492</v>
      </c>
      <c r="J104" s="7">
        <v>1</v>
      </c>
      <c r="K104" s="7"/>
    </row>
    <row r="105" spans="1:11" ht="15.75" thickBot="1" x14ac:dyDescent="0.3">
      <c r="A105" s="1"/>
      <c r="B105" s="11">
        <f t="shared" si="0"/>
        <v>103</v>
      </c>
      <c r="C105" s="13" t="s">
        <v>18</v>
      </c>
      <c r="D105" s="14" t="s">
        <v>125</v>
      </c>
      <c r="E105" s="15" t="s">
        <v>249</v>
      </c>
      <c r="F105" s="14" t="s">
        <v>302</v>
      </c>
      <c r="G105" s="15" t="s">
        <v>408</v>
      </c>
      <c r="H105" s="14" t="s">
        <v>434</v>
      </c>
      <c r="I105" s="15" t="s">
        <v>488</v>
      </c>
      <c r="J105" s="14">
        <v>1</v>
      </c>
      <c r="K105" s="16" t="s">
        <v>539</v>
      </c>
    </row>
    <row r="106" spans="1:11" ht="15.75" thickBot="1" x14ac:dyDescent="0.3">
      <c r="A106" s="1"/>
      <c r="B106" s="11">
        <f>ROW(B106) - ROW($B$2)</f>
        <v>104</v>
      </c>
      <c r="C106" s="12" t="s">
        <v>18</v>
      </c>
      <c r="D106" s="7" t="s">
        <v>126</v>
      </c>
      <c r="E106" s="8" t="s">
        <v>251</v>
      </c>
      <c r="F106" s="7" t="s">
        <v>302</v>
      </c>
      <c r="G106" s="8" t="s">
        <v>410</v>
      </c>
      <c r="H106" s="7" t="s">
        <v>434</v>
      </c>
      <c r="I106" s="8" t="s">
        <v>531</v>
      </c>
      <c r="J106" s="7">
        <v>4</v>
      </c>
      <c r="K106" s="7"/>
    </row>
    <row r="107" spans="1:11" ht="15.75" thickBot="1" x14ac:dyDescent="0.3">
      <c r="A107" s="1"/>
      <c r="B107" s="11">
        <f t="shared" si="0"/>
        <v>105</v>
      </c>
      <c r="C107" s="13" t="s">
        <v>18</v>
      </c>
      <c r="D107" s="9" t="s">
        <v>127</v>
      </c>
      <c r="E107" s="10" t="s">
        <v>252</v>
      </c>
      <c r="F107" s="9" t="s">
        <v>302</v>
      </c>
      <c r="G107" s="10" t="s">
        <v>411</v>
      </c>
      <c r="H107" s="9" t="s">
        <v>434</v>
      </c>
      <c r="I107" s="10" t="s">
        <v>502</v>
      </c>
      <c r="J107" s="9">
        <v>1</v>
      </c>
      <c r="K107" s="9"/>
    </row>
    <row r="108" spans="1:11" ht="15.75" thickBot="1" x14ac:dyDescent="0.3">
      <c r="A108" s="1"/>
      <c r="B108" s="11">
        <f>ROW(B108) - ROW($B$2)</f>
        <v>106</v>
      </c>
      <c r="C108" s="12" t="s">
        <v>18</v>
      </c>
      <c r="D108" s="14" t="s">
        <v>128</v>
      </c>
      <c r="E108" s="15" t="s">
        <v>245</v>
      </c>
      <c r="F108" s="14" t="s">
        <v>302</v>
      </c>
      <c r="G108" s="15" t="s">
        <v>404</v>
      </c>
      <c r="H108" s="14" t="s">
        <v>434</v>
      </c>
      <c r="I108" s="15" t="s">
        <v>488</v>
      </c>
      <c r="J108" s="14">
        <v>1</v>
      </c>
      <c r="K108" s="16" t="s">
        <v>539</v>
      </c>
    </row>
    <row r="109" spans="1:11" ht="15.75" thickBot="1" x14ac:dyDescent="0.3">
      <c r="A109" s="1"/>
      <c r="B109" s="11">
        <f t="shared" si="0"/>
        <v>107</v>
      </c>
      <c r="C109" s="13" t="s">
        <v>19</v>
      </c>
      <c r="D109" s="14" t="s">
        <v>129</v>
      </c>
      <c r="E109" s="15" t="s">
        <v>219</v>
      </c>
      <c r="F109" s="14" t="s">
        <v>301</v>
      </c>
      <c r="G109" s="15" t="s">
        <v>379</v>
      </c>
      <c r="H109" s="14" t="s">
        <v>434</v>
      </c>
      <c r="I109" s="15" t="s">
        <v>488</v>
      </c>
      <c r="J109" s="14">
        <v>2</v>
      </c>
      <c r="K109" s="16" t="s">
        <v>539</v>
      </c>
    </row>
    <row r="110" spans="1:11" ht="15.75" thickBot="1" x14ac:dyDescent="0.3">
      <c r="A110" s="1"/>
      <c r="B110" s="11">
        <f t="shared" si="0"/>
        <v>108</v>
      </c>
      <c r="C110" s="13" t="s">
        <v>19</v>
      </c>
      <c r="D110" s="9" t="s">
        <v>130</v>
      </c>
      <c r="E110" s="10" t="s">
        <v>253</v>
      </c>
      <c r="F110" s="9" t="s">
        <v>301</v>
      </c>
      <c r="G110" s="10" t="s">
        <v>412</v>
      </c>
      <c r="H110" s="9" t="s">
        <v>434</v>
      </c>
      <c r="I110" s="10" t="s">
        <v>532</v>
      </c>
      <c r="J110" s="9">
        <v>1</v>
      </c>
      <c r="K110" s="9"/>
    </row>
    <row r="111" spans="1:11" ht="24.75" thickBot="1" x14ac:dyDescent="0.3">
      <c r="A111" s="1"/>
      <c r="B111" s="11">
        <f>ROW(B111) - ROW($B$2)</f>
        <v>109</v>
      </c>
      <c r="C111" s="12" t="s">
        <v>20</v>
      </c>
      <c r="D111" s="7" t="s">
        <v>131</v>
      </c>
      <c r="E111" s="8" t="s">
        <v>254</v>
      </c>
      <c r="F111" s="7" t="s">
        <v>540</v>
      </c>
      <c r="G111" s="8" t="s">
        <v>303</v>
      </c>
      <c r="H111" s="7" t="s">
        <v>453</v>
      </c>
      <c r="I111" s="8" t="s">
        <v>541</v>
      </c>
      <c r="J111" s="7">
        <v>1</v>
      </c>
      <c r="K111" s="7"/>
    </row>
    <row r="112" spans="1:11" ht="48.75" thickBot="1" x14ac:dyDescent="0.3">
      <c r="A112" s="1"/>
      <c r="B112" s="11">
        <f t="shared" si="0"/>
        <v>110</v>
      </c>
      <c r="C112" s="13" t="s">
        <v>21</v>
      </c>
      <c r="D112" s="9" t="s">
        <v>132</v>
      </c>
      <c r="E112" s="10" t="s">
        <v>255</v>
      </c>
      <c r="F112" s="7" t="s">
        <v>540</v>
      </c>
      <c r="G112" s="10" t="s">
        <v>304</v>
      </c>
      <c r="H112" s="9" t="s">
        <v>454</v>
      </c>
      <c r="I112" s="8" t="s">
        <v>541</v>
      </c>
      <c r="J112" s="9">
        <v>1</v>
      </c>
      <c r="K112" s="9"/>
    </row>
    <row r="113" spans="1:11" ht="36.75" thickBot="1" x14ac:dyDescent="0.3">
      <c r="A113" s="1"/>
      <c r="B113" s="11">
        <f>ROW(B113) - ROW($B$2)</f>
        <v>111</v>
      </c>
      <c r="C113" s="12" t="s">
        <v>21</v>
      </c>
      <c r="D113" s="7" t="s">
        <v>133</v>
      </c>
      <c r="E113" s="8" t="s">
        <v>256</v>
      </c>
      <c r="F113" s="7" t="s">
        <v>540</v>
      </c>
      <c r="G113" s="8" t="s">
        <v>305</v>
      </c>
      <c r="H113" s="7" t="s">
        <v>454</v>
      </c>
      <c r="I113" s="8" t="s">
        <v>541</v>
      </c>
      <c r="J113" s="7">
        <v>4</v>
      </c>
      <c r="K113" s="7"/>
    </row>
    <row r="114" spans="1:11" ht="24.75" thickBot="1" x14ac:dyDescent="0.3">
      <c r="A114" s="1"/>
      <c r="B114" s="11">
        <f t="shared" si="0"/>
        <v>112</v>
      </c>
      <c r="C114" s="13" t="s">
        <v>22</v>
      </c>
      <c r="D114" s="9" t="s">
        <v>134</v>
      </c>
      <c r="E114" s="10" t="s">
        <v>257</v>
      </c>
      <c r="F114" s="9" t="s">
        <v>306</v>
      </c>
      <c r="G114" s="10" t="s">
        <v>413</v>
      </c>
      <c r="H114" s="9" t="s">
        <v>455</v>
      </c>
      <c r="I114" s="8" t="s">
        <v>541</v>
      </c>
      <c r="J114" s="9">
        <v>1</v>
      </c>
      <c r="K114" s="9"/>
    </row>
    <row r="115" spans="1:11" ht="15.75" thickBot="1" x14ac:dyDescent="0.3">
      <c r="A115" s="1"/>
      <c r="B115" s="11">
        <f>ROW(B115) - ROW($B$2)</f>
        <v>113</v>
      </c>
      <c r="C115" s="12" t="s">
        <v>22</v>
      </c>
      <c r="D115" s="7" t="s">
        <v>135</v>
      </c>
      <c r="E115" s="8" t="s">
        <v>258</v>
      </c>
      <c r="F115" s="7" t="s">
        <v>307</v>
      </c>
      <c r="G115" s="8" t="s">
        <v>414</v>
      </c>
      <c r="H115" s="7" t="s">
        <v>456</v>
      </c>
      <c r="I115" s="8" t="s">
        <v>541</v>
      </c>
      <c r="J115" s="7">
        <v>1</v>
      </c>
      <c r="K115" s="7"/>
    </row>
    <row r="116" spans="1:11" ht="15.75" thickBot="1" x14ac:dyDescent="0.3">
      <c r="A116" s="1"/>
      <c r="B116" s="11">
        <f t="shared" si="0"/>
        <v>114</v>
      </c>
      <c r="C116" s="13" t="s">
        <v>22</v>
      </c>
      <c r="D116" s="9" t="s">
        <v>136</v>
      </c>
      <c r="E116" s="10" t="s">
        <v>259</v>
      </c>
      <c r="F116" s="9" t="s">
        <v>308</v>
      </c>
      <c r="G116" s="10" t="s">
        <v>415</v>
      </c>
      <c r="H116" s="9" t="s">
        <v>457</v>
      </c>
      <c r="I116" s="8" t="s">
        <v>541</v>
      </c>
      <c r="J116" s="9">
        <v>1</v>
      </c>
      <c r="K116" s="9"/>
    </row>
    <row r="117" spans="1:11" ht="24.75" thickBot="1" x14ac:dyDescent="0.3">
      <c r="A117" s="1"/>
      <c r="B117" s="11">
        <f>ROW(B117) - ROW($B$2)</f>
        <v>115</v>
      </c>
      <c r="C117" s="12" t="s">
        <v>22</v>
      </c>
      <c r="D117" s="7" t="s">
        <v>137</v>
      </c>
      <c r="E117" s="8" t="s">
        <v>260</v>
      </c>
      <c r="F117" s="7" t="s">
        <v>309</v>
      </c>
      <c r="G117" s="8" t="s">
        <v>416</v>
      </c>
      <c r="H117" s="7" t="s">
        <v>458</v>
      </c>
      <c r="I117" s="8" t="s">
        <v>541</v>
      </c>
      <c r="J117" s="7">
        <v>1</v>
      </c>
      <c r="K117" s="7"/>
    </row>
    <row r="118" spans="1:11" ht="15.75" thickBot="1" x14ac:dyDescent="0.3">
      <c r="A118" s="1"/>
      <c r="B118" s="11">
        <f t="shared" si="0"/>
        <v>116</v>
      </c>
      <c r="C118" s="13" t="s">
        <v>22</v>
      </c>
      <c r="D118" s="9" t="s">
        <v>138</v>
      </c>
      <c r="E118" s="10" t="s">
        <v>261</v>
      </c>
      <c r="F118" s="9" t="s">
        <v>310</v>
      </c>
      <c r="G118" s="10" t="s">
        <v>417</v>
      </c>
      <c r="H118" s="9" t="s">
        <v>459</v>
      </c>
      <c r="I118" s="8" t="s">
        <v>541</v>
      </c>
      <c r="J118" s="9">
        <v>1</v>
      </c>
      <c r="K118" s="9"/>
    </row>
    <row r="119" spans="1:11" ht="15.75" thickBot="1" x14ac:dyDescent="0.3">
      <c r="A119" s="1"/>
      <c r="B119" s="11">
        <f>ROW(B119) - ROW($B$2)</f>
        <v>117</v>
      </c>
      <c r="C119" s="12" t="s">
        <v>22</v>
      </c>
      <c r="D119" s="7" t="s">
        <v>139</v>
      </c>
      <c r="E119" s="8" t="s">
        <v>262</v>
      </c>
      <c r="F119" s="7" t="s">
        <v>311</v>
      </c>
      <c r="G119" s="8" t="s">
        <v>418</v>
      </c>
      <c r="H119" s="7" t="s">
        <v>459</v>
      </c>
      <c r="I119" s="8" t="s">
        <v>541</v>
      </c>
      <c r="J119" s="7">
        <v>1</v>
      </c>
      <c r="K119" s="7"/>
    </row>
    <row r="120" spans="1:11" ht="15.75" thickBot="1" x14ac:dyDescent="0.3">
      <c r="A120" s="1"/>
      <c r="B120" s="11">
        <f t="shared" si="0"/>
        <v>118</v>
      </c>
      <c r="C120" s="13" t="s">
        <v>22</v>
      </c>
      <c r="D120" s="9" t="s">
        <v>140</v>
      </c>
      <c r="E120" s="10" t="s">
        <v>263</v>
      </c>
      <c r="F120" s="9" t="s">
        <v>312</v>
      </c>
      <c r="G120" s="10" t="s">
        <v>419</v>
      </c>
      <c r="H120" s="9" t="s">
        <v>459</v>
      </c>
      <c r="I120" s="8" t="s">
        <v>541</v>
      </c>
      <c r="J120" s="9">
        <v>1</v>
      </c>
      <c r="K120" s="9"/>
    </row>
    <row r="121" spans="1:11" ht="15.75" thickBot="1" x14ac:dyDescent="0.3">
      <c r="A121" s="1"/>
      <c r="B121" s="11">
        <f>ROW(B121) - ROW($B$2)</f>
        <v>119</v>
      </c>
      <c r="C121" s="12" t="s">
        <v>22</v>
      </c>
      <c r="D121" s="7" t="s">
        <v>141</v>
      </c>
      <c r="E121" s="8" t="s">
        <v>264</v>
      </c>
      <c r="F121" s="7" t="s">
        <v>313</v>
      </c>
      <c r="G121" s="8" t="s">
        <v>420</v>
      </c>
      <c r="H121" s="7" t="s">
        <v>459</v>
      </c>
      <c r="I121" s="8" t="s">
        <v>541</v>
      </c>
      <c r="J121" s="7">
        <v>1</v>
      </c>
      <c r="K121" s="7"/>
    </row>
    <row r="122" spans="1:11" ht="15.75" thickBot="1" x14ac:dyDescent="0.3">
      <c r="A122" s="1"/>
      <c r="B122" s="11">
        <f t="shared" si="0"/>
        <v>120</v>
      </c>
      <c r="C122" s="13" t="s">
        <v>22</v>
      </c>
      <c r="D122" s="9" t="s">
        <v>142</v>
      </c>
      <c r="E122" s="10" t="s">
        <v>265</v>
      </c>
      <c r="F122" s="9" t="s">
        <v>299</v>
      </c>
      <c r="G122" s="10" t="s">
        <v>421</v>
      </c>
      <c r="H122" s="9" t="s">
        <v>460</v>
      </c>
      <c r="I122" s="8" t="s">
        <v>541</v>
      </c>
      <c r="J122" s="9">
        <v>1</v>
      </c>
      <c r="K122" s="9"/>
    </row>
    <row r="123" spans="1:11" ht="15.75" thickBot="1" x14ac:dyDescent="0.3">
      <c r="A123" s="1"/>
      <c r="B123" s="11">
        <f>ROW(B123) - ROW($B$2)</f>
        <v>121</v>
      </c>
      <c r="C123" s="12" t="s">
        <v>22</v>
      </c>
      <c r="D123" s="7" t="s">
        <v>143</v>
      </c>
      <c r="E123" s="8" t="s">
        <v>266</v>
      </c>
      <c r="F123" s="7" t="s">
        <v>314</v>
      </c>
      <c r="G123" s="8" t="s">
        <v>422</v>
      </c>
      <c r="H123" s="7" t="s">
        <v>459</v>
      </c>
      <c r="I123" s="8" t="s">
        <v>541</v>
      </c>
      <c r="J123" s="7">
        <v>1</v>
      </c>
      <c r="K123" s="7"/>
    </row>
    <row r="124" spans="1:11" ht="24.75" thickBot="1" x14ac:dyDescent="0.3">
      <c r="A124" s="1"/>
      <c r="B124" s="11">
        <f t="shared" si="0"/>
        <v>122</v>
      </c>
      <c r="C124" s="13" t="s">
        <v>22</v>
      </c>
      <c r="D124" s="9" t="s">
        <v>144</v>
      </c>
      <c r="E124" s="10" t="s">
        <v>267</v>
      </c>
      <c r="F124" s="9" t="s">
        <v>315</v>
      </c>
      <c r="G124" s="10" t="s">
        <v>423</v>
      </c>
      <c r="H124" s="9" t="s">
        <v>461</v>
      </c>
      <c r="I124" s="8" t="s">
        <v>541</v>
      </c>
      <c r="J124" s="9">
        <v>1</v>
      </c>
      <c r="K124" s="9"/>
    </row>
    <row r="125" spans="1:11" ht="24.75" thickBot="1" x14ac:dyDescent="0.3">
      <c r="A125" s="1"/>
      <c r="B125" s="11">
        <f>ROW(B125) - ROW($B$2)</f>
        <v>123</v>
      </c>
      <c r="C125" s="12" t="s">
        <v>22</v>
      </c>
      <c r="D125" s="7" t="s">
        <v>145</v>
      </c>
      <c r="E125" s="8" t="s">
        <v>268</v>
      </c>
      <c r="F125" s="7" t="s">
        <v>316</v>
      </c>
      <c r="G125" s="8" t="s">
        <v>424</v>
      </c>
      <c r="H125" s="7" t="s">
        <v>459</v>
      </c>
      <c r="I125" s="8" t="s">
        <v>541</v>
      </c>
      <c r="J125" s="7">
        <v>1</v>
      </c>
      <c r="K125" s="7"/>
    </row>
    <row r="126" spans="1:11" ht="15.75" thickBot="1" x14ac:dyDescent="0.3">
      <c r="A126" s="1"/>
      <c r="B126" s="11">
        <f t="shared" si="0"/>
        <v>124</v>
      </c>
      <c r="C126" s="13" t="s">
        <v>22</v>
      </c>
      <c r="D126" s="9" t="s">
        <v>146</v>
      </c>
      <c r="E126" s="10" t="s">
        <v>269</v>
      </c>
      <c r="F126" s="9" t="s">
        <v>317</v>
      </c>
      <c r="G126" s="10" t="s">
        <v>425</v>
      </c>
      <c r="H126" s="9" t="s">
        <v>459</v>
      </c>
      <c r="I126" s="8" t="s">
        <v>541</v>
      </c>
      <c r="J126" s="9">
        <v>1</v>
      </c>
      <c r="K126" s="9"/>
    </row>
    <row r="127" spans="1:11" ht="24.75" thickBot="1" x14ac:dyDescent="0.3">
      <c r="A127" s="1"/>
      <c r="B127" s="11">
        <f>ROW(B127) - ROW($B$2)</f>
        <v>125</v>
      </c>
      <c r="C127" s="12" t="s">
        <v>22</v>
      </c>
      <c r="D127" s="7" t="s">
        <v>147</v>
      </c>
      <c r="E127" s="8" t="s">
        <v>270</v>
      </c>
      <c r="F127" s="7" t="s">
        <v>540</v>
      </c>
      <c r="G127" s="8" t="s">
        <v>318</v>
      </c>
      <c r="H127" s="7" t="s">
        <v>462</v>
      </c>
      <c r="I127" s="8" t="s">
        <v>541</v>
      </c>
      <c r="J127" s="7">
        <v>1</v>
      </c>
      <c r="K127" s="7"/>
    </row>
    <row r="128" spans="1:11" ht="15.75" thickBot="1" x14ac:dyDescent="0.3">
      <c r="A128" s="1"/>
      <c r="B128" s="11">
        <f t="shared" si="0"/>
        <v>126</v>
      </c>
      <c r="C128" s="13" t="s">
        <v>22</v>
      </c>
      <c r="D128" s="9" t="s">
        <v>148</v>
      </c>
      <c r="E128" s="10" t="s">
        <v>271</v>
      </c>
      <c r="F128" s="9" t="s">
        <v>319</v>
      </c>
      <c r="G128" s="10" t="s">
        <v>426</v>
      </c>
      <c r="H128" s="9" t="s">
        <v>459</v>
      </c>
      <c r="I128" s="8" t="s">
        <v>541</v>
      </c>
      <c r="J128" s="9">
        <v>1</v>
      </c>
      <c r="K128" s="9"/>
    </row>
    <row r="129" spans="1:11" ht="36.75" thickBot="1" x14ac:dyDescent="0.3">
      <c r="A129" s="1"/>
      <c r="B129" s="11">
        <f t="shared" si="0"/>
        <v>127</v>
      </c>
      <c r="C129" s="13" t="s">
        <v>23</v>
      </c>
      <c r="D129" s="9" t="s">
        <v>149</v>
      </c>
      <c r="E129" s="10" t="s">
        <v>272</v>
      </c>
      <c r="F129" s="9" t="s">
        <v>320</v>
      </c>
      <c r="G129" s="10" t="s">
        <v>427</v>
      </c>
      <c r="H129" s="9" t="s">
        <v>463</v>
      </c>
      <c r="I129" s="10" t="s">
        <v>533</v>
      </c>
      <c r="J129" s="9">
        <v>1</v>
      </c>
      <c r="K129" s="9"/>
    </row>
    <row r="130" spans="1:11" ht="15.75" thickBot="1" x14ac:dyDescent="0.3">
      <c r="A130" s="1"/>
      <c r="B130" s="11">
        <f>ROW(B130) - ROW($B$2)</f>
        <v>128</v>
      </c>
      <c r="C130" s="12" t="s">
        <v>24</v>
      </c>
      <c r="D130" s="7" t="s">
        <v>150</v>
      </c>
      <c r="E130" s="8" t="s">
        <v>273</v>
      </c>
      <c r="F130" s="7" t="s">
        <v>321</v>
      </c>
      <c r="G130" s="8" t="s">
        <v>428</v>
      </c>
      <c r="H130" s="7" t="s">
        <v>464</v>
      </c>
      <c r="I130" s="8" t="s">
        <v>534</v>
      </c>
      <c r="J130" s="7">
        <v>2</v>
      </c>
      <c r="K130" s="7"/>
    </row>
    <row r="131" spans="1:11" ht="36.75" thickBot="1" x14ac:dyDescent="0.3">
      <c r="A131" s="1"/>
      <c r="B131" s="11">
        <f t="shared" si="0"/>
        <v>129</v>
      </c>
      <c r="C131" s="13" t="s">
        <v>25</v>
      </c>
      <c r="D131" s="9" t="s">
        <v>151</v>
      </c>
      <c r="E131" s="10" t="s">
        <v>274</v>
      </c>
      <c r="F131" s="9" t="s">
        <v>322</v>
      </c>
      <c r="G131" s="10" t="s">
        <v>429</v>
      </c>
      <c r="H131" s="9" t="s">
        <v>465</v>
      </c>
      <c r="I131" s="10" t="s">
        <v>533</v>
      </c>
      <c r="J131" s="9">
        <v>1</v>
      </c>
      <c r="K131" s="9"/>
    </row>
    <row r="132" spans="1:11" ht="24.75" thickBot="1" x14ac:dyDescent="0.3">
      <c r="B132" s="11">
        <f>ROW(B132) - ROW($B$2)</f>
        <v>130</v>
      </c>
      <c r="C132" s="12" t="s">
        <v>542</v>
      </c>
      <c r="D132" s="7" t="s">
        <v>541</v>
      </c>
      <c r="E132" s="8" t="s">
        <v>544</v>
      </c>
      <c r="F132" s="7" t="s">
        <v>540</v>
      </c>
      <c r="G132" s="8" t="s">
        <v>543</v>
      </c>
      <c r="H132" s="7" t="s">
        <v>545</v>
      </c>
      <c r="I132" s="8" t="s">
        <v>541</v>
      </c>
      <c r="J132" s="7">
        <v>2</v>
      </c>
      <c r="K132" s="7"/>
    </row>
    <row r="133" spans="1:11" ht="64.5" thickBot="1" x14ac:dyDescent="0.3">
      <c r="B133" s="11">
        <f>ROW(B133) - ROW($B$2)</f>
        <v>131</v>
      </c>
      <c r="C133" s="12" t="s">
        <v>542</v>
      </c>
      <c r="D133" s="7" t="s">
        <v>541</v>
      </c>
      <c r="E133" s="8" t="s">
        <v>547</v>
      </c>
      <c r="F133" s="9" t="s">
        <v>540</v>
      </c>
      <c r="G133" s="8" t="s">
        <v>546</v>
      </c>
      <c r="H133" s="7" t="s">
        <v>548</v>
      </c>
      <c r="I133" s="8" t="s">
        <v>541</v>
      </c>
      <c r="J133" s="7">
        <v>1</v>
      </c>
      <c r="K133" s="17" t="s">
        <v>549</v>
      </c>
    </row>
    <row r="134" spans="1:11" ht="36.75" thickBot="1" x14ac:dyDescent="0.3">
      <c r="B134" s="11">
        <f t="shared" ref="B134:B135" si="1">ROW(B134) - ROW($B$2)</f>
        <v>132</v>
      </c>
      <c r="C134" s="12" t="s">
        <v>542</v>
      </c>
      <c r="D134" s="7" t="s">
        <v>541</v>
      </c>
      <c r="E134" s="10" t="s">
        <v>552</v>
      </c>
      <c r="F134" s="9" t="s">
        <v>540</v>
      </c>
      <c r="G134" s="10" t="s">
        <v>550</v>
      </c>
      <c r="H134" s="9" t="s">
        <v>551</v>
      </c>
      <c r="I134" s="10" t="s">
        <v>541</v>
      </c>
      <c r="J134" s="9">
        <v>1</v>
      </c>
      <c r="K134" s="9"/>
    </row>
    <row r="135" spans="1:11" ht="24.75" thickBot="1" x14ac:dyDescent="0.3">
      <c r="B135" s="11">
        <f t="shared" si="1"/>
        <v>133</v>
      </c>
      <c r="C135" s="12" t="s">
        <v>542</v>
      </c>
      <c r="D135" s="7" t="s">
        <v>541</v>
      </c>
      <c r="E135" s="10" t="s">
        <v>558</v>
      </c>
      <c r="F135" s="9" t="s">
        <v>540</v>
      </c>
      <c r="G135" s="10" t="s">
        <v>559</v>
      </c>
      <c r="H135" s="9" t="s">
        <v>560</v>
      </c>
      <c r="I135" s="10" t="s">
        <v>541</v>
      </c>
      <c r="J135" s="9">
        <v>2</v>
      </c>
      <c r="K135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2025-02-28T11:04:53Z</dcterms:modified>
</cp:coreProperties>
</file>