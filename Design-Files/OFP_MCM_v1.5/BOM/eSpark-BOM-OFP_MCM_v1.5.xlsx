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MCM_v1.5\BOM\"/>
    </mc:Choice>
  </mc:AlternateContent>
  <bookViews>
    <workbookView xWindow="28680" yWindow="-120" windowWidth="29040" windowHeight="15840" activeTab="1"/>
  </bookViews>
  <sheets>
    <sheet name="10 Boards" sheetId="1" r:id="rId1"/>
    <sheet name="1000 Boards" sheetId="2" r:id="rId2"/>
  </sheets>
  <calcPr calcId="162913"/>
</workbook>
</file>

<file path=xl/calcChain.xml><?xml version="1.0" encoding="utf-8"?>
<calcChain xmlns="http://schemas.openxmlformats.org/spreadsheetml/2006/main">
  <c r="M9" i="2" l="1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8" i="2"/>
  <c r="Q140" i="2"/>
  <c r="B140" i="2"/>
  <c r="Q139" i="2"/>
  <c r="B139" i="2"/>
  <c r="Q138" i="2"/>
  <c r="B138" i="2"/>
  <c r="Q137" i="2"/>
  <c r="B137" i="2"/>
  <c r="Q136" i="2"/>
  <c r="B136" i="2"/>
  <c r="Q135" i="2"/>
  <c r="B135" i="2"/>
  <c r="Q134" i="2"/>
  <c r="B134" i="2"/>
  <c r="Q133" i="2"/>
  <c r="B133" i="2"/>
  <c r="Q132" i="2"/>
  <c r="B132" i="2"/>
  <c r="Q131" i="2"/>
  <c r="B131" i="2"/>
  <c r="Q130" i="2"/>
  <c r="B130" i="2"/>
  <c r="Q129" i="2"/>
  <c r="B129" i="2"/>
  <c r="Q128" i="2"/>
  <c r="B128" i="2"/>
  <c r="Q127" i="2"/>
  <c r="B127" i="2"/>
  <c r="Q126" i="2"/>
  <c r="B126" i="2"/>
  <c r="Q125" i="2"/>
  <c r="B125" i="2"/>
  <c r="Q124" i="2"/>
  <c r="B124" i="2"/>
  <c r="Q123" i="2"/>
  <c r="B123" i="2"/>
  <c r="Q122" i="2"/>
  <c r="B122" i="2"/>
  <c r="Q121" i="2"/>
  <c r="B121" i="2"/>
  <c r="Q120" i="2"/>
  <c r="B120" i="2"/>
  <c r="Q119" i="2"/>
  <c r="B119" i="2"/>
  <c r="Q118" i="2"/>
  <c r="B118" i="2"/>
  <c r="Q117" i="2"/>
  <c r="B117" i="2"/>
  <c r="Q116" i="2"/>
  <c r="B116" i="2"/>
  <c r="Q115" i="2"/>
  <c r="B115" i="2"/>
  <c r="B114" i="2"/>
  <c r="B113" i="2"/>
  <c r="Q112" i="2"/>
  <c r="B112" i="2"/>
  <c r="Q111" i="2"/>
  <c r="B111" i="2"/>
  <c r="B110" i="2"/>
  <c r="Q109" i="2"/>
  <c r="B109" i="2"/>
  <c r="B108" i="2"/>
  <c r="Q107" i="2"/>
  <c r="B107" i="2"/>
  <c r="Q106" i="2"/>
  <c r="B106" i="2"/>
  <c r="Q105" i="2"/>
  <c r="B105" i="2"/>
  <c r="Q104" i="2"/>
  <c r="B104" i="2"/>
  <c r="B103" i="2"/>
  <c r="Q102" i="2"/>
  <c r="B102" i="2"/>
  <c r="Q101" i="2"/>
  <c r="B101" i="2"/>
  <c r="Q100" i="2"/>
  <c r="B100" i="2"/>
  <c r="Q99" i="2"/>
  <c r="B99" i="2"/>
  <c r="Q98" i="2"/>
  <c r="B98" i="2"/>
  <c r="Q97" i="2"/>
  <c r="B97" i="2"/>
  <c r="Q96" i="2"/>
  <c r="B96" i="2"/>
  <c r="Q95" i="2"/>
  <c r="B95" i="2"/>
  <c r="Q94" i="2"/>
  <c r="B94" i="2"/>
  <c r="Q93" i="2"/>
  <c r="B93" i="2"/>
  <c r="Q92" i="2"/>
  <c r="B92" i="2"/>
  <c r="Q91" i="2"/>
  <c r="B91" i="2"/>
  <c r="Q90" i="2"/>
  <c r="B90" i="2"/>
  <c r="Q89" i="2"/>
  <c r="B89" i="2"/>
  <c r="Q88" i="2"/>
  <c r="B88" i="2"/>
  <c r="Q87" i="2"/>
  <c r="B87" i="2"/>
  <c r="Q86" i="2"/>
  <c r="B86" i="2"/>
  <c r="Q85" i="2"/>
  <c r="B85" i="2"/>
  <c r="Q84" i="2"/>
  <c r="B84" i="2"/>
  <c r="Q83" i="2"/>
  <c r="B83" i="2"/>
  <c r="Q82" i="2"/>
  <c r="B82" i="2"/>
  <c r="Q81" i="2"/>
  <c r="B81" i="2"/>
  <c r="Q80" i="2"/>
  <c r="B80" i="2"/>
  <c r="Q79" i="2"/>
  <c r="B79" i="2"/>
  <c r="Q78" i="2"/>
  <c r="B78" i="2"/>
  <c r="Q77" i="2"/>
  <c r="B77" i="2"/>
  <c r="Q76" i="2"/>
  <c r="B76" i="2"/>
  <c r="Q75" i="2"/>
  <c r="B75" i="2"/>
  <c r="Q74" i="2"/>
  <c r="B74" i="2"/>
  <c r="Q73" i="2"/>
  <c r="B73" i="2"/>
  <c r="Q72" i="2"/>
  <c r="B72" i="2"/>
  <c r="Q71" i="2"/>
  <c r="B71" i="2"/>
  <c r="Q70" i="2"/>
  <c r="B70" i="2"/>
  <c r="Q69" i="2"/>
  <c r="B69" i="2"/>
  <c r="Q68" i="2"/>
  <c r="B68" i="2"/>
  <c r="Q67" i="2"/>
  <c r="B67" i="2"/>
  <c r="Q66" i="2"/>
  <c r="B66" i="2"/>
  <c r="Q65" i="2"/>
  <c r="B65" i="2"/>
  <c r="Q64" i="2"/>
  <c r="B64" i="2"/>
  <c r="Q63" i="2"/>
  <c r="B63" i="2"/>
  <c r="Q62" i="2"/>
  <c r="B62" i="2"/>
  <c r="Q61" i="2"/>
  <c r="B61" i="2"/>
  <c r="Q60" i="2"/>
  <c r="B60" i="2"/>
  <c r="Q59" i="2"/>
  <c r="B59" i="2"/>
  <c r="Q58" i="2"/>
  <c r="B58" i="2"/>
  <c r="Q57" i="2"/>
  <c r="B57" i="2"/>
  <c r="Q56" i="2"/>
  <c r="B56" i="2"/>
  <c r="Q55" i="2"/>
  <c r="B55" i="2"/>
  <c r="B54" i="2"/>
  <c r="Q53" i="2"/>
  <c r="B53" i="2"/>
  <c r="Q52" i="2"/>
  <c r="B52" i="2"/>
  <c r="Q51" i="2"/>
  <c r="B51" i="2"/>
  <c r="Q50" i="2"/>
  <c r="B50" i="2"/>
  <c r="Q49" i="2"/>
  <c r="B49" i="2"/>
  <c r="B48" i="2"/>
  <c r="Q47" i="2"/>
  <c r="B47" i="2"/>
  <c r="Q46" i="2"/>
  <c r="B46" i="2"/>
  <c r="Q45" i="2"/>
  <c r="B45" i="2"/>
  <c r="Q44" i="2"/>
  <c r="B44" i="2"/>
  <c r="Q43" i="2"/>
  <c r="B43" i="2"/>
  <c r="Q42" i="2"/>
  <c r="B42" i="2"/>
  <c r="B41" i="2"/>
  <c r="Q40" i="2"/>
  <c r="B40" i="2"/>
  <c r="Q39" i="2"/>
  <c r="B39" i="2"/>
  <c r="B38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9" i="2"/>
  <c r="B9" i="2"/>
  <c r="Q8" i="2"/>
  <c r="B8" i="2"/>
  <c r="Q141" i="1"/>
  <c r="Q142" i="1" s="1"/>
  <c r="Q137" i="1"/>
  <c r="Q138" i="1"/>
  <c r="Q139" i="1"/>
  <c r="Q140" i="1"/>
  <c r="M137" i="1"/>
  <c r="M138" i="1"/>
  <c r="M139" i="1"/>
  <c r="M140" i="1"/>
  <c r="B140" i="1"/>
  <c r="B139" i="1"/>
  <c r="B138" i="1"/>
  <c r="B137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8" i="1"/>
  <c r="Q141" i="2" l="1"/>
  <c r="Q142" i="2" s="1"/>
  <c r="Q136" i="1"/>
  <c r="B136" i="1"/>
  <c r="Q135" i="1"/>
  <c r="B135" i="1"/>
  <c r="Q134" i="1"/>
  <c r="B134" i="1"/>
  <c r="Q133" i="1"/>
  <c r="B133" i="1"/>
  <c r="Q132" i="1"/>
  <c r="B132" i="1"/>
  <c r="Q131" i="1"/>
  <c r="B131" i="1"/>
  <c r="Q130" i="1"/>
  <c r="B130" i="1"/>
  <c r="Q129" i="1"/>
  <c r="B129" i="1"/>
  <c r="Q128" i="1"/>
  <c r="B128" i="1"/>
  <c r="Q127" i="1"/>
  <c r="B127" i="1"/>
  <c r="Q126" i="1"/>
  <c r="B126" i="1"/>
  <c r="Q125" i="1"/>
  <c r="B125" i="1"/>
  <c r="Q124" i="1"/>
  <c r="B124" i="1"/>
  <c r="Q123" i="1"/>
  <c r="B123" i="1"/>
  <c r="Q122" i="1"/>
  <c r="B122" i="1"/>
  <c r="Q121" i="1"/>
  <c r="B121" i="1"/>
  <c r="Q120" i="1"/>
  <c r="B120" i="1"/>
  <c r="Q119" i="1"/>
  <c r="B119" i="1"/>
  <c r="Q118" i="1"/>
  <c r="B118" i="1"/>
  <c r="Q117" i="1"/>
  <c r="B117" i="1"/>
  <c r="Q116" i="1"/>
  <c r="B116" i="1"/>
  <c r="Q115" i="1"/>
  <c r="B115" i="1"/>
  <c r="B114" i="1"/>
  <c r="B113" i="1"/>
  <c r="Q112" i="1"/>
  <c r="B112" i="1"/>
  <c r="Q111" i="1"/>
  <c r="B111" i="1"/>
  <c r="B110" i="1"/>
  <c r="Q109" i="1"/>
  <c r="B109" i="1"/>
  <c r="B108" i="1"/>
  <c r="Q107" i="1"/>
  <c r="B107" i="1"/>
  <c r="Q106" i="1"/>
  <c r="B106" i="1"/>
  <c r="Q105" i="1"/>
  <c r="B105" i="1"/>
  <c r="Q104" i="1"/>
  <c r="B104" i="1"/>
  <c r="B103" i="1"/>
  <c r="Q102" i="1"/>
  <c r="B102" i="1"/>
  <c r="Q101" i="1"/>
  <c r="B101" i="1"/>
  <c r="Q100" i="1"/>
  <c r="B100" i="1"/>
  <c r="Q99" i="1"/>
  <c r="B99" i="1"/>
  <c r="Q98" i="1"/>
  <c r="B98" i="1"/>
  <c r="Q97" i="1"/>
  <c r="B97" i="1"/>
  <c r="Q96" i="1"/>
  <c r="B96" i="1"/>
  <c r="Q95" i="1"/>
  <c r="B95" i="1"/>
  <c r="Q94" i="1"/>
  <c r="B94" i="1"/>
  <c r="Q93" i="1"/>
  <c r="B93" i="1"/>
  <c r="Q92" i="1"/>
  <c r="B92" i="1"/>
  <c r="Q91" i="1"/>
  <c r="B91" i="1"/>
  <c r="Q90" i="1"/>
  <c r="B90" i="1"/>
  <c r="Q89" i="1"/>
  <c r="B89" i="1"/>
  <c r="Q88" i="1"/>
  <c r="B88" i="1"/>
  <c r="Q87" i="1"/>
  <c r="B87" i="1"/>
  <c r="Q86" i="1"/>
  <c r="B86" i="1"/>
  <c r="Q85" i="1"/>
  <c r="B85" i="1"/>
  <c r="Q84" i="1"/>
  <c r="B84" i="1"/>
  <c r="Q83" i="1"/>
  <c r="B83" i="1"/>
  <c r="Q82" i="1"/>
  <c r="B82" i="1"/>
  <c r="Q81" i="1"/>
  <c r="B81" i="1"/>
  <c r="Q80" i="1"/>
  <c r="B80" i="1"/>
  <c r="Q79" i="1"/>
  <c r="B79" i="1"/>
  <c r="Q78" i="1"/>
  <c r="B78" i="1"/>
  <c r="Q77" i="1"/>
  <c r="B77" i="1"/>
  <c r="Q76" i="1"/>
  <c r="B76" i="1"/>
  <c r="Q75" i="1"/>
  <c r="B75" i="1"/>
  <c r="Q74" i="1"/>
  <c r="B74" i="1"/>
  <c r="Q73" i="1"/>
  <c r="B73" i="1"/>
  <c r="Q72" i="1"/>
  <c r="B72" i="1"/>
  <c r="Q71" i="1"/>
  <c r="B71" i="1"/>
  <c r="Q70" i="1"/>
  <c r="B70" i="1"/>
  <c r="Q69" i="1"/>
  <c r="B69" i="1"/>
  <c r="Q68" i="1"/>
  <c r="B68" i="1"/>
  <c r="Q67" i="1"/>
  <c r="B67" i="1"/>
  <c r="Q66" i="1"/>
  <c r="B66" i="1"/>
  <c r="Q65" i="1"/>
  <c r="B65" i="1"/>
  <c r="Q64" i="1"/>
  <c r="B64" i="1"/>
  <c r="Q63" i="1"/>
  <c r="B63" i="1"/>
  <c r="Q62" i="1"/>
  <c r="B62" i="1"/>
  <c r="Q61" i="1"/>
  <c r="B61" i="1"/>
  <c r="Q60" i="1"/>
  <c r="B60" i="1"/>
  <c r="Q59" i="1"/>
  <c r="B59" i="1"/>
  <c r="Q58" i="1"/>
  <c r="B58" i="1"/>
  <c r="Q57" i="1"/>
  <c r="B57" i="1"/>
  <c r="Q56" i="1"/>
  <c r="B56" i="1"/>
  <c r="Q55" i="1"/>
  <c r="B55" i="1"/>
  <c r="B54" i="1"/>
  <c r="Q53" i="1"/>
  <c r="B53" i="1"/>
  <c r="Q52" i="1"/>
  <c r="B52" i="1"/>
  <c r="Q51" i="1"/>
  <c r="B51" i="1"/>
  <c r="Q50" i="1"/>
  <c r="B50" i="1"/>
  <c r="Q49" i="1"/>
  <c r="B49" i="1"/>
  <c r="B48" i="1"/>
  <c r="Q47" i="1"/>
  <c r="B47" i="1"/>
  <c r="Q46" i="1"/>
  <c r="B46" i="1"/>
  <c r="Q45" i="1"/>
  <c r="B45" i="1"/>
  <c r="Q44" i="1"/>
  <c r="B44" i="1"/>
  <c r="Q43" i="1"/>
  <c r="B43" i="1"/>
  <c r="Q42" i="1"/>
  <c r="B42" i="1"/>
  <c r="B41" i="1"/>
  <c r="Q40" i="1"/>
  <c r="B40" i="1"/>
  <c r="Q39" i="1"/>
  <c r="B39" i="1"/>
  <c r="B38" i="1"/>
  <c r="B37" i="1"/>
  <c r="Q36" i="1"/>
  <c r="B36" i="1"/>
  <c r="Q35" i="1"/>
  <c r="B35" i="1"/>
  <c r="Q34" i="1"/>
  <c r="B34" i="1"/>
  <c r="Q33" i="1"/>
  <c r="B33" i="1"/>
  <c r="Q32" i="1"/>
  <c r="B32" i="1"/>
  <c r="Q31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3" i="1"/>
  <c r="B23" i="1"/>
  <c r="Q22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B11" i="1"/>
  <c r="Q10" i="1"/>
  <c r="B10" i="1"/>
  <c r="Q9" i="1" l="1"/>
  <c r="Q8" i="1"/>
  <c r="B9" i="1"/>
  <c r="B8" i="1"/>
</calcChain>
</file>

<file path=xl/sharedStrings.xml><?xml version="1.0" encoding="utf-8"?>
<sst xmlns="http://schemas.openxmlformats.org/spreadsheetml/2006/main" count="3088" uniqueCount="879">
  <si>
    <t>Component list</t>
  </si>
  <si>
    <t>Project:</t>
  </si>
  <si>
    <t>#</t>
  </si>
  <si>
    <t xml:space="preserve">Total Component Cost </t>
  </si>
  <si>
    <t>Single Board Cost</t>
  </si>
  <si>
    <t>Item Type</t>
  </si>
  <si>
    <t>Capacitors</t>
  </si>
  <si>
    <t>Capacitor</t>
  </si>
  <si>
    <t>Super Capaciitor</t>
  </si>
  <si>
    <t>(TVS/ESD)</t>
  </si>
  <si>
    <t>Diode</t>
  </si>
  <si>
    <t>Ferrite Bead</t>
  </si>
  <si>
    <t>FFC/FPC Cable</t>
  </si>
  <si>
    <t>USB Micro B</t>
  </si>
  <si>
    <t>FFC / FPC Connector</t>
  </si>
  <si>
    <t>RF / Coaxial Connectors</t>
  </si>
  <si>
    <t>Wire to Board Connector</t>
  </si>
  <si>
    <t>Inductors</t>
  </si>
  <si>
    <t>Inductor</t>
  </si>
  <si>
    <t>LED</t>
  </si>
  <si>
    <t>Buzzers</t>
  </si>
  <si>
    <t>Mosfet</t>
  </si>
  <si>
    <t>Resistor</t>
  </si>
  <si>
    <t>Resistors</t>
  </si>
  <si>
    <t>Switches</t>
  </si>
  <si>
    <t>Tactile Switch</t>
  </si>
  <si>
    <t>IC</t>
  </si>
  <si>
    <t>Crytal</t>
  </si>
  <si>
    <t>Crystals</t>
  </si>
  <si>
    <t>Crystal</t>
  </si>
  <si>
    <t>Designator</t>
  </si>
  <si>
    <t>C1, C2, C5, C6</t>
  </si>
  <si>
    <t>C3, C17, C22, C23, C34, C38, C42, C45, C87, C88</t>
  </si>
  <si>
    <t>C8</t>
  </si>
  <si>
    <t>C9, C49, C52, C53, C59, C75, C80, C83, C101, C106, C139, C140</t>
  </si>
  <si>
    <t>C10</t>
  </si>
  <si>
    <t>C21, C25</t>
  </si>
  <si>
    <t>C26</t>
  </si>
  <si>
    <t>C32, C112, C115, C118, C121, C125, C128, C131, C134</t>
  </si>
  <si>
    <t>C47, C48, C78, C79, C89, C90, C91, C92, C104</t>
  </si>
  <si>
    <t>C50, C51</t>
  </si>
  <si>
    <t>C54, C65, C72</t>
  </si>
  <si>
    <t>C55</t>
  </si>
  <si>
    <t>C56</t>
  </si>
  <si>
    <t>C60, C61, C67, C68, C76, C77, C81, C82</t>
  </si>
  <si>
    <t>C62, C66, C69, C73, C85</t>
  </si>
  <si>
    <t>C63</t>
  </si>
  <si>
    <t>C64, C98, C99</t>
  </si>
  <si>
    <t>C70, C86</t>
  </si>
  <si>
    <t>C71, C74, C84</t>
  </si>
  <si>
    <t>C96</t>
  </si>
  <si>
    <t>C100, C105</t>
  </si>
  <si>
    <t>C102, C107</t>
  </si>
  <si>
    <t>C103, C108</t>
  </si>
  <si>
    <t>C109, C110</t>
  </si>
  <si>
    <t>C113, C116, C119, C122, C126, C129, C132, C135</t>
  </si>
  <si>
    <t>C123</t>
  </si>
  <si>
    <t>C136</t>
  </si>
  <si>
    <t>C137, C138, C141, C142, C144, C145, C146</t>
  </si>
  <si>
    <t>C143</t>
  </si>
  <si>
    <t>D1, D2, D3, D4, D5, D6, D7, D8, D10</t>
  </si>
  <si>
    <t>D9</t>
  </si>
  <si>
    <t>D11</t>
  </si>
  <si>
    <t>FB1, FB2</t>
  </si>
  <si>
    <t>J1</t>
  </si>
  <si>
    <t>J2</t>
  </si>
  <si>
    <t>J3</t>
  </si>
  <si>
    <t>J4</t>
  </si>
  <si>
    <t>J5, J6</t>
  </si>
  <si>
    <t>J8</t>
  </si>
  <si>
    <t>J10</t>
  </si>
  <si>
    <t>L1</t>
  </si>
  <si>
    <t>L2, L3, L4</t>
  </si>
  <si>
    <t>L5</t>
  </si>
  <si>
    <t>L6</t>
  </si>
  <si>
    <t>L7</t>
  </si>
  <si>
    <t>LED1</t>
  </si>
  <si>
    <t>LED6, LED11</t>
  </si>
  <si>
    <t>LED7</t>
  </si>
  <si>
    <t>LED10</t>
  </si>
  <si>
    <t>LS1</t>
  </si>
  <si>
    <t>Q1</t>
  </si>
  <si>
    <t>Q2, Q3, Q4, Q5, Q6, Q7</t>
  </si>
  <si>
    <t>R1, R2, R3, R4, R5, R6, 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</si>
  <si>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</si>
  <si>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</si>
  <si>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</si>
  <si>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</si>
  <si>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</si>
  <si>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</si>
  <si>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</si>
  <si>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</si>
  <si>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</si>
  <si>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</si>
  <si>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R20</t>
  </si>
  <si>
    <t>R21, R22, R23, R24, R25, R26, R28, R32, R33, R34, R35, R36, R37, R38, R96, R101, R109, R117, R118</t>
  </si>
  <si>
    <t>R27, R29</t>
  </si>
  <si>
    <t>R30</t>
  </si>
  <si>
    <t>R31</t>
  </si>
  <si>
    <t>R39, R42, R45, R52, R55, R57, R58, R83, R84, R104</t>
  </si>
  <si>
    <t>R40</t>
  </si>
  <si>
    <t>R41</t>
  </si>
  <si>
    <t>R43</t>
  </si>
  <si>
    <t>R44</t>
  </si>
  <si>
    <t>R46</t>
  </si>
  <si>
    <t>R47, R48, R54, R60, R63, R85, R89, R100</t>
  </si>
  <si>
    <t>R49, R59, R62, R73</t>
  </si>
  <si>
    <t>R50, R51, R70, R71, R72</t>
  </si>
  <si>
    <t>R53</t>
  </si>
  <si>
    <t>R56, R65</t>
  </si>
  <si>
    <t>R61</t>
  </si>
  <si>
    <t>R64</t>
  </si>
  <si>
    <t>R66</t>
  </si>
  <si>
    <t>R67</t>
  </si>
  <si>
    <t>R68</t>
  </si>
  <si>
    <t>R69</t>
  </si>
  <si>
    <t>R74, R75, R76</t>
  </si>
  <si>
    <t>R77, R97, R98, R114, R120, R121</t>
  </si>
  <si>
    <t>R78</t>
  </si>
  <si>
    <t>R79</t>
  </si>
  <si>
    <t>R80</t>
  </si>
  <si>
    <t>R81, R86</t>
  </si>
  <si>
    <t>R82, R110</t>
  </si>
  <si>
    <t>R87</t>
  </si>
  <si>
    <t>R88</t>
  </si>
  <si>
    <t>R93</t>
  </si>
  <si>
    <t>R95</t>
  </si>
  <si>
    <t>R99</t>
  </si>
  <si>
    <t>R102</t>
  </si>
  <si>
    <t>R103</t>
  </si>
  <si>
    <t>R105, R106, R107, R108</t>
  </si>
  <si>
    <t>R111</t>
  </si>
  <si>
    <t>R112</t>
  </si>
  <si>
    <t>R113, R119</t>
  </si>
  <si>
    <t>R122</t>
  </si>
  <si>
    <t>SW1</t>
  </si>
  <si>
    <t>SW2</t>
  </si>
  <si>
    <t>SW3, SW4, SW5, SW6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</si>
  <si>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</si>
  <si>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</si>
  <si>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</si>
  <si>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</si>
  <si>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</si>
  <si>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</si>
  <si>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</si>
  <si>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</si>
  <si>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</si>
  <si>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</si>
  <si>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</si>
  <si>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</si>
  <si>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</si>
  <si>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</si>
  <si>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</si>
  <si>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X1</t>
  </si>
  <si>
    <t>X2, X3</t>
  </si>
  <si>
    <t>X4</t>
  </si>
  <si>
    <t>Description</t>
  </si>
  <si>
    <t>CAP CER 15PF 50V C0G/NP0 0402</t>
  </si>
  <si>
    <t>CAP CER 1UF 6.3V X7R 0402</t>
  </si>
  <si>
    <t>CAP CER 10UF 10V X7R 0603</t>
  </si>
  <si>
    <t>CAP CER 0.1UF 25V X7R 0402</t>
  </si>
  <si>
    <t>0.47F -20%~+80% 5.5V</t>
  </si>
  <si>
    <t>CAP CER 0.1UF 50V X7R 0603</t>
  </si>
  <si>
    <t>CAP CER 12PF 100V C0G/NP0 0603</t>
  </si>
  <si>
    <t>CAP CER 4.7UF 16V X5R 0402</t>
  </si>
  <si>
    <t>CAP CER 1000PF 50V C0G/NP0 0402</t>
  </si>
  <si>
    <t>CAP CER 10000PF 50V X7R 0402</t>
  </si>
  <si>
    <t>CAP CER 10UF 50V X7R 1210</t>
  </si>
  <si>
    <t>CAP CER 22UF 10V X7R 0805</t>
  </si>
  <si>
    <t>CAP CER 0.047UF 50V X7R 0603</t>
  </si>
  <si>
    <t>CAP CER 82PF 50V C0G/NPO 0603</t>
  </si>
  <si>
    <t>CAP CER 0.033UF 50V X7R 0603</t>
  </si>
  <si>
    <t>CAP CER 22UF 6.3V X7R 0805</t>
  </si>
  <si>
    <t>CAP CER 22PF 100V C0G/NP0 0603</t>
  </si>
  <si>
    <t>CAP CER 3300PF 50V C0G/NP0 0603</t>
  </si>
  <si>
    <t>CAP CER 1UF 50V X7R 0603</t>
  </si>
  <si>
    <t>CAP CER 2200PF 50V C0G/NP0 0603</t>
  </si>
  <si>
    <t>CAP CER 10000PF 50V C0G/NP0 0603</t>
  </si>
  <si>
    <t>CAP CER 2.2UF 16V X7R 0603</t>
  </si>
  <si>
    <t>CAP TANT 100UF 20% 6V 1206</t>
  </si>
  <si>
    <t>CAP CER 33PF 100V C0G/NP0 0603</t>
  </si>
  <si>
    <t>CAP CER 10PF 50V C0G/NPO 0603</t>
  </si>
  <si>
    <t>CAP 30pF NP0 0603 50 V ±5 % SMD</t>
  </si>
  <si>
    <t>CAP CER 1000PF 25V X7R 0402</t>
  </si>
  <si>
    <t>CAP CER 1UF 25V X5R 0402</t>
  </si>
  <si>
    <t>CAP CER 10UF 10V X5R 0402</t>
  </si>
  <si>
    <t>CAP CER 33PF 25V C0G/NP0 0402</t>
  </si>
  <si>
    <t>5A 60W 12V 3.6V 3.3V SOD-523 ESD and Surge Protection (TVS/ESD) ROHS</t>
  </si>
  <si>
    <t>DIODE GEN PURP 75V 200MA SOD523F</t>
  </si>
  <si>
    <t>DIODE SCHOTTKY 40V 1A SOD123</t>
  </si>
  <si>
    <t>FERRITE BEAD 220 OHM 0603 1LN</t>
  </si>
  <si>
    <t>1.10mm Pitch microSD Memory Card Connector, Reverse Mount SMT, Push-Push Type</t>
  </si>
  <si>
    <t>Flip type 10P Bottom Contact Horizontal attachment 0.5mm SMD,P=0.5mm FFC, FPC (Flat Flexible) Connector Assemblies ROHS</t>
  </si>
  <si>
    <t>1A USB 2.0 1 Direct Insert 5P Female Micro-B Plugin USB Connectors ROHS</t>
  </si>
  <si>
    <t>CONN FFC FPC 40POS 0.5MM R/A</t>
  </si>
  <si>
    <t>CONN U.FL RCPT STR 50 OHM SMD</t>
  </si>
  <si>
    <t>CONN HEADER VERT 8POS 2.5MM</t>
  </si>
  <si>
    <t>FIXED IND 6.8UH 4.5A 50.16 MOHM</t>
  </si>
  <si>
    <t>2.9A 4.7uH ±20% 2.9A SMD,4x4mm Power Inductors ROHS</t>
  </si>
  <si>
    <t>FIXED IND 4.7UH 1.9A 84 MOHM SMD</t>
  </si>
  <si>
    <t>590mA 22uH ±20% SMD,4x4x1.8mm Power Inductors ROHS</t>
  </si>
  <si>
    <t>FIXED IND 47NH 400MA 0.7OHM SMD</t>
  </si>
  <si>
    <t>D=5mm LED Indication - Discrete ROHS</t>
  </si>
  <si>
    <t>RED LED 0603 Light Emitting Diodes</t>
  </si>
  <si>
    <t>333-2 Series Yellow Green 5 x 5.9 x 8.6 mm 30° 80 mcd Diffused 2.4 V LED</t>
  </si>
  <si>
    <t>LED YELLOW DIFFUSED 5MM T/H</t>
  </si>
  <si>
    <t>yellow 0603 Light Emitting Diodes (LED) ROHS</t>
  </si>
  <si>
    <t>80dB Passive (external drive) Electromagnetic Type 4kHz SMD,5x5mm Buzzers ROHS</t>
  </si>
  <si>
    <t>TRANS NPN 40V 0.6A SMD SOT23-3</t>
  </si>
  <si>
    <t>TRANS PREBIAS NPN 50V 0.1A EMT3</t>
  </si>
  <si>
    <t>RES 47K OHM 1% 1/16W 0402</t>
  </si>
  <si>
    <t>RES 3.3 OHM 1% 1/16W 0402</t>
  </si>
  <si>
    <t>RES 5.6K OHM 1% 1/16W 0402</t>
  </si>
  <si>
    <t>RES 10K OHM 1% 1/16W 0402</t>
  </si>
  <si>
    <t>RES SMD 11K OHM 0.1% 1/16W 0402</t>
  </si>
  <si>
    <t>RES 120 OHM 1% 1/10W 0603</t>
  </si>
  <si>
    <t>RES SMD 6.8K OHM 0.1% 1/16W 0402</t>
  </si>
  <si>
    <t>RES SMD 8.2K OHM 0.1% 1/16W 0402</t>
  </si>
  <si>
    <t>RES SMD 10K OHM 0.1% 1/16W 0402</t>
  </si>
  <si>
    <t>RES SMD 100K OHM 0.1% 1/16W 0402</t>
  </si>
  <si>
    <t>RES 1K OHM 1% 1/16W 0402</t>
  </si>
  <si>
    <t>RES 4.7K OHM 1% 1/16W 0402</t>
  </si>
  <si>
    <t>RES 5.1K OHM 1% 1/10W 0603</t>
  </si>
  <si>
    <t>RES 0 OHM JUMPER 1/16W 0402</t>
  </si>
  <si>
    <t>RES 2K OHM 1% 1/16W 0402</t>
  </si>
  <si>
    <t>RES 240 OHM 1% 1/16W 0402</t>
  </si>
  <si>
    <t>RES 200K OHM 1% 1/16W 0402</t>
  </si>
  <si>
    <t>RES SMD 0R, 1%, 0.1W, 0603</t>
  </si>
  <si>
    <t>RES SMD 511K OHM 0.1% 1/10W 0603</t>
  </si>
  <si>
    <t>RES 49.9 OHM 1% 1/10W 0603</t>
  </si>
  <si>
    <t>RES SMD 88.7KOHM 0.1% 1/10W 0603</t>
  </si>
  <si>
    <t>RES SMD 10.2KOHM 0.1% 1/10W 0603</t>
  </si>
  <si>
    <t>RES SMD 53.6KOHM 0.1% 1/10W 0603</t>
  </si>
  <si>
    <t>RES SMD 10K Ohm 1% 1/10W 0603</t>
  </si>
  <si>
    <t>RES 20K OHM 1% 1/10W 0603</t>
  </si>
  <si>
    <t>RES 100K OHM 1% 1/10W 0603</t>
  </si>
  <si>
    <t>RES 45.3K OHM 1% 1/10W 0603</t>
  </si>
  <si>
    <t>RES 30K OHM 1% 1/10W 0603</t>
  </si>
  <si>
    <t>RES SMD 51R 100mW 0603</t>
  </si>
  <si>
    <t>RES SMD 73.2KOHM 0.1% 1/10W 0603</t>
  </si>
  <si>
    <t>RES 37.4K OHM 1% 1/10W 0603</t>
  </si>
  <si>
    <t>RES 1.87K OHM 1% 1/16W 0402</t>
  </si>
  <si>
    <t>RES 4.99K OHM 1% 1/16W 0402</t>
  </si>
  <si>
    <t>RES 140K OHM 1% 1/10W 0603</t>
  </si>
  <si>
    <t>RES 51K OHM 1% 1/10W 0603</t>
  </si>
  <si>
    <t>RES SMD 680 OHM 1% 1/10W 0603</t>
  </si>
  <si>
    <t>RES 820 OHM 1% 1/10W 0603</t>
  </si>
  <si>
    <t>RES 499 OHM 1% 1/10W 0603</t>
  </si>
  <si>
    <t>RES SMD 100 OHM 1% 1/10W 0603</t>
  </si>
  <si>
    <t>RES SMD 10 OHM 1% 1/10W 0603</t>
  </si>
  <si>
    <t>63mW Thin Film Resistor ±50ppm/℃ ±0.1% 9.53kΩ 0402 Chip Resistor - Surface Mount ROHS</t>
  </si>
  <si>
    <t>RES 90.9K OHM 1% 1/10W 0603</t>
  </si>
  <si>
    <t>RES SMD 1M OHM 1% 1/10W 0603</t>
  </si>
  <si>
    <t>RES SMD 1K OHM 1% 1/10W 0603</t>
  </si>
  <si>
    <t>RES 47K OHM 1% 1/10W 0603</t>
  </si>
  <si>
    <t>RES 22 OHM 1% 1/10W 0603</t>
  </si>
  <si>
    <t>RES SMD 4.7K OHM 1% 1/10W 0603</t>
  </si>
  <si>
    <t>RES SMD 10M Ohm 5% 1/16W 0402</t>
  </si>
  <si>
    <t>SWITCH TACTILE SPST-NO 0.05A 24V</t>
  </si>
  <si>
    <t>Without bracket 50mA 4mm 100000 Times 12V 160gf 3mm 2mm Round Button Standing paste SPST SMD Tactile Switches ROHS</t>
  </si>
  <si>
    <t>6mm 12mm Round Button 50mA Standing paste 6mm SPST 12V SMD,6x6mm Tactile Switches ROHS</t>
  </si>
  <si>
    <t>LQFP-128-EP(14x14) Microcontrollers (MCU/MPU/SOC) ROHS</t>
  </si>
  <si>
    <t>IC FLASH 128MBIT SPI/QUAD 8WSON</t>
  </si>
  <si>
    <t>IC RTC CLOCK/CALENDAR I2C 8SO</t>
  </si>
  <si>
    <t>2Mbps Transceiver USB 2.0 SOP-16 USB ICs ROHS</t>
  </si>
  <si>
    <t>IC REG BUCK ADJ 3A SOT583</t>
  </si>
  <si>
    <t>IC REG BCK ADJ 3A/2A TRPL 32VQFN</t>
  </si>
  <si>
    <t>IC REG BUCK ADJ 3A SOT563</t>
  </si>
  <si>
    <t>IC REG LIN POS ADJ 1.5A 20VQFN</t>
  </si>
  <si>
    <t>IC REG LINEAR 3V 200MA SOT23</t>
  </si>
  <si>
    <t>IC REG LINEAR 3.3V 1.5A SOT223-6</t>
  </si>
  <si>
    <t>MSOP-10 Touch Screen Controllers ROHS</t>
  </si>
  <si>
    <t>IC LED DRVR RGLTR PWM 30MA 6WSON</t>
  </si>
  <si>
    <t>IC USB 2.0 2PORT HUB IND 48HTQFP</t>
  </si>
  <si>
    <t>RF TXRX MOD CELLULARCARD EDGE</t>
  </si>
  <si>
    <t>IC TRANSLATOR BIDIR 20TSSOP</t>
  </si>
  <si>
    <t>24MHz Surface Mount Crystal 12pF ±10ppm ±10ppm SMD3225-4P Crystals ROHS</t>
  </si>
  <si>
    <t>CRYSTAL 32.7680KHZ 12.5PF SMD</t>
  </si>
  <si>
    <t>24MHz Surface Mount Crystal 20pF ±10ppm ±20ppm SMD5032-4P Crystals ROHS</t>
  </si>
  <si>
    <t>Footprint</t>
  </si>
  <si>
    <t>Cap-0402</t>
  </si>
  <si>
    <t>Cap-0603</t>
  </si>
  <si>
    <t>SC EB 5R5 474 M</t>
  </si>
  <si>
    <t>Cap-1210</t>
  </si>
  <si>
    <t>Cap-0805</t>
  </si>
  <si>
    <t>Case-A</t>
  </si>
  <si>
    <t>SOD-523 (Bi-Directional)</t>
  </si>
  <si>
    <t>SOD-523F</t>
  </si>
  <si>
    <t>SOD-123</t>
  </si>
  <si>
    <t>IND-0603 (1608 Metric)</t>
  </si>
  <si>
    <t>HX0.5-10P XJH2.0 043</t>
  </si>
  <si>
    <t>U-D-M5DD-Y-3</t>
  </si>
  <si>
    <t>FH34SRJ-40S-0.5SH(50)</t>
  </si>
  <si>
    <t>U.FL-R-SMT(10)</t>
  </si>
  <si>
    <t>B8B-XH-A(LF)(SN)</t>
  </si>
  <si>
    <t>SMNR4030-4R7MT</t>
  </si>
  <si>
    <t>SRN4018-4R7M</t>
  </si>
  <si>
    <t>YNR4018-220M</t>
  </si>
  <si>
    <t>TH LED 5mm_</t>
  </si>
  <si>
    <t>LED-0603</t>
  </si>
  <si>
    <t>TH LED 5mm Green</t>
  </si>
  <si>
    <t>TH LED 5mm Yellow</t>
  </si>
  <si>
    <t>FUET-5025</t>
  </si>
  <si>
    <t>SOT-23</t>
  </si>
  <si>
    <t>SOT-416</t>
  </si>
  <si>
    <t>Res-0402</t>
  </si>
  <si>
    <t>Res-0603</t>
  </si>
  <si>
    <t>FSM6JSMATR</t>
  </si>
  <si>
    <t>TS-1088-AR02016</t>
  </si>
  <si>
    <t>TS-1002S-12026C</t>
  </si>
  <si>
    <t>LQFP-128-EP(14x14)</t>
  </si>
  <si>
    <t>WSON-8-EP(6x8)</t>
  </si>
  <si>
    <t>SOIC-8(0.154", 3.90mm Width)</t>
  </si>
  <si>
    <t>SOP-16</t>
  </si>
  <si>
    <t>SOT-583</t>
  </si>
  <si>
    <t>32-QFN (5x5)</t>
  </si>
  <si>
    <t>SOT-563</t>
  </si>
  <si>
    <t>20-VQFN (5x5)</t>
  </si>
  <si>
    <t>SOT-223-6_</t>
  </si>
  <si>
    <t>10-MSOP</t>
  </si>
  <si>
    <t>WSON-6-EP(2x2)</t>
  </si>
  <si>
    <t>48-HTQFP (7x7)</t>
  </si>
  <si>
    <t>EC21EFA-512-STD</t>
  </si>
  <si>
    <t>TSSOP-20</t>
  </si>
  <si>
    <t>SMD3225-4P</t>
  </si>
  <si>
    <t>SMD3215-2P</t>
  </si>
  <si>
    <t>SMD5032-4P</t>
  </si>
  <si>
    <t>Manufacturer Part Number</t>
  </si>
  <si>
    <t>GJM1555C1H150FB01D</t>
  </si>
  <si>
    <t>GRM155R70J105KA12J</t>
  </si>
  <si>
    <t>GRM188Z71A106KA73D</t>
  </si>
  <si>
    <t>GRM155R71E104KE14D</t>
  </si>
  <si>
    <t>GCJ188R71H104KA12D</t>
  </si>
  <si>
    <t>GCM1885C2A120JA16D</t>
  </si>
  <si>
    <t>CL05A475MO5NUNC</t>
  </si>
  <si>
    <t>GRM1555C1H102JA01D</t>
  </si>
  <si>
    <t>GCM155R71H103JA55D</t>
  </si>
  <si>
    <t>GRM32ER71H106KA12L</t>
  </si>
  <si>
    <t>GRM21BZ71A226ME15L</t>
  </si>
  <si>
    <t>GCJ188R71H473KA12D</t>
  </si>
  <si>
    <t>CC0603JRNPO9BN820</t>
  </si>
  <si>
    <t>GCJ188R71H333KA12D</t>
  </si>
  <si>
    <t>GRM21BZ70J226ME44L</t>
  </si>
  <si>
    <t>GCM1885C2A220JA16D</t>
  </si>
  <si>
    <t>GCM1885C1H332FA16D</t>
  </si>
  <si>
    <t>CC0603KRX7R9BB105</t>
  </si>
  <si>
    <t>GRM1885C1H222JA01D</t>
  </si>
  <si>
    <t>GRM1885C1H103JA01D</t>
  </si>
  <si>
    <t>CC0603KRX7R7BB225</t>
  </si>
  <si>
    <t>T490A107M006ATE800</t>
  </si>
  <si>
    <t>GCM1885C2A330JA16D</t>
  </si>
  <si>
    <t>CC0603JRNPO9BN100</t>
  </si>
  <si>
    <t>CC0603JRNPO9BN300</t>
  </si>
  <si>
    <t>CC0402KRX7R8BB102</t>
  </si>
  <si>
    <t>CC0402KRX5R8BB105</t>
  </si>
  <si>
    <t>CC0402MRX5R6BB106</t>
  </si>
  <si>
    <t>GRM1555C1E330JA01D</t>
  </si>
  <si>
    <t>ESD5Z3.3C</t>
  </si>
  <si>
    <t>1N4148WT</t>
  </si>
  <si>
    <t>1N5819HW-7-F</t>
  </si>
  <si>
    <t>BLM18PG221SN1D</t>
  </si>
  <si>
    <t>ETQ-P3M6R8KVN</t>
  </si>
  <si>
    <t>LQG18HH47NJ00D</t>
  </si>
  <si>
    <t>DY-333SDRD-SN-A3(EL)(HF)</t>
  </si>
  <si>
    <t>NCD0603R3</t>
  </si>
  <si>
    <t>333-2SYGD/S530-E2-L</t>
  </si>
  <si>
    <t>333-2UYD/S530-A3-L</t>
  </si>
  <si>
    <t>NCD0603Y2</t>
  </si>
  <si>
    <t>MMBT2222A-7-F</t>
  </si>
  <si>
    <t>DTC143ZETL</t>
  </si>
  <si>
    <t>RC0402FR-0747KL</t>
  </si>
  <si>
    <t>RC0402FR-073R3L</t>
  </si>
  <si>
    <t>RC0402FR-075K6L</t>
  </si>
  <si>
    <t>RC0402FR-0710KL</t>
  </si>
  <si>
    <t>RT0402BRE0711KL</t>
  </si>
  <si>
    <t>RC0603FR-07120RL</t>
  </si>
  <si>
    <t>RT0402BRC076K8L</t>
  </si>
  <si>
    <t>RT0402BRD078K2L</t>
  </si>
  <si>
    <t>RT0402BRD0710KL</t>
  </si>
  <si>
    <t>RT0402BRD07100KL</t>
  </si>
  <si>
    <t>RC0402FR-071KL</t>
  </si>
  <si>
    <t>RC0402FR-074K7L</t>
  </si>
  <si>
    <t>RC0603FR-075K1L</t>
  </si>
  <si>
    <t>RC0402FR-070RL</t>
  </si>
  <si>
    <t>RC0402FR-072KL</t>
  </si>
  <si>
    <t>RC0402FR-07240RL</t>
  </si>
  <si>
    <t>RC0402FR-07200KL</t>
  </si>
  <si>
    <t>RC0603FR-070RL</t>
  </si>
  <si>
    <t>RT0603BRD07511KL</t>
  </si>
  <si>
    <t>RC0603FR-0749R9L</t>
  </si>
  <si>
    <t>RT0603BRD0788K7L</t>
  </si>
  <si>
    <t>RT0603BRE0710K2L</t>
  </si>
  <si>
    <t>RT0603BRD0753K6L</t>
  </si>
  <si>
    <t>RC0603FR-0710KL</t>
  </si>
  <si>
    <t>RC0603FR-0720KL</t>
  </si>
  <si>
    <t>RC0603FR-07100KL</t>
  </si>
  <si>
    <t>RC0603FR-0745K3L</t>
  </si>
  <si>
    <t>RC0603FR-0751RL</t>
  </si>
  <si>
    <t>RT0603BRD0773K2L</t>
  </si>
  <si>
    <t>RC0603FR-0737K4L</t>
  </si>
  <si>
    <t>RC0402FR-071K87L</t>
  </si>
  <si>
    <t>RC0402FR-074K99L</t>
  </si>
  <si>
    <t>RC0603FR-07140KL</t>
  </si>
  <si>
    <t>RC0603FR-0751KL</t>
  </si>
  <si>
    <t>RC0603FR-07680RL</t>
  </si>
  <si>
    <t>RC0603FR-07820RL</t>
  </si>
  <si>
    <t>RC0603FR-07499RL</t>
  </si>
  <si>
    <t>RC0603FR-07100RL</t>
  </si>
  <si>
    <t>RC0603FR-0710RL</t>
  </si>
  <si>
    <t>RT0402BRE079K53L</t>
  </si>
  <si>
    <t>RC0603FR-0790K9L</t>
  </si>
  <si>
    <t>RC0603FR-071ML</t>
  </si>
  <si>
    <t>RC0603FR-071KL</t>
  </si>
  <si>
    <t>RC0603FR-0747KL</t>
  </si>
  <si>
    <t>RC0603FR-0722RL</t>
  </si>
  <si>
    <t>RC0603FR-074K7L</t>
  </si>
  <si>
    <t>RC0402JR-0710ML</t>
  </si>
  <si>
    <t>V3s</t>
  </si>
  <si>
    <t>W25Q128JVEIQ</t>
  </si>
  <si>
    <t>PCF8563T/5,518</t>
  </si>
  <si>
    <t>CH340C</t>
  </si>
  <si>
    <t>TPS62933DRLR</t>
  </si>
  <si>
    <t>TPS65261RHBR</t>
  </si>
  <si>
    <t>TPS563202DRLR</t>
  </si>
  <si>
    <t>TPS74801RGWR</t>
  </si>
  <si>
    <t>XC6206P302MR-G</t>
  </si>
  <si>
    <t>TPS7A4533DCQR</t>
  </si>
  <si>
    <t>NS2009</t>
  </si>
  <si>
    <t>TPS61158DRVR</t>
  </si>
  <si>
    <t>TUSB4020BIPHPR</t>
  </si>
  <si>
    <t>TXS0108EPWR</t>
  </si>
  <si>
    <t>7M24000192</t>
  </si>
  <si>
    <t>CM315D32768DZFT</t>
  </si>
  <si>
    <t>X503224MSB4SI</t>
  </si>
  <si>
    <t>Manufacturer</t>
  </si>
  <si>
    <t>Murata</t>
  </si>
  <si>
    <t>Wincap(Xingkai)</t>
  </si>
  <si>
    <t>Samsung</t>
  </si>
  <si>
    <t>Yageo</t>
  </si>
  <si>
    <t>KEMET</t>
  </si>
  <si>
    <t>MDD(Microdiode Semiconductor)</t>
  </si>
  <si>
    <t>ON Semiconductor / Fairchild</t>
  </si>
  <si>
    <t>Diodes</t>
  </si>
  <si>
    <t>Molex</t>
  </si>
  <si>
    <t>hanxia</t>
  </si>
  <si>
    <t>HRO Electronics</t>
  </si>
  <si>
    <t>Hirose</t>
  </si>
  <si>
    <t>JST</t>
  </si>
  <si>
    <t>Panasonic</t>
  </si>
  <si>
    <t>SXN(Shun Xiang Nuo Elec)</t>
  </si>
  <si>
    <t>Bourns</t>
  </si>
  <si>
    <t>YJYCOIN</t>
  </si>
  <si>
    <t>TONYU</t>
  </si>
  <si>
    <t>Foshan NationStar Optoelectronics</t>
  </si>
  <si>
    <t>Everlight</t>
  </si>
  <si>
    <t>FUET</t>
  </si>
  <si>
    <t>Rohm</t>
  </si>
  <si>
    <t>TE Connectivity Alcoswitch</t>
  </si>
  <si>
    <t>XUNPU</t>
  </si>
  <si>
    <t>Allwinner Tech</t>
  </si>
  <si>
    <t>Winbond</t>
  </si>
  <si>
    <t>NXP Semiconductors</t>
  </si>
  <si>
    <t>WCH</t>
  </si>
  <si>
    <t>Texas Instruments</t>
  </si>
  <si>
    <t>Torex</t>
  </si>
  <si>
    <t>Shenzhen Nsiway Tech</t>
  </si>
  <si>
    <t>Quectel Wireless Solutions</t>
  </si>
  <si>
    <t>TXC Corp</t>
  </si>
  <si>
    <t>Citizen</t>
  </si>
  <si>
    <t>YXC</t>
  </si>
  <si>
    <t>LCSC Part Number</t>
  </si>
  <si>
    <t>C441742</t>
  </si>
  <si>
    <t>C2167130</t>
  </si>
  <si>
    <t>C2959727</t>
  </si>
  <si>
    <t>C77014</t>
  </si>
  <si>
    <t>C239004</t>
  </si>
  <si>
    <t>C161115</t>
  </si>
  <si>
    <t>C701298</t>
  </si>
  <si>
    <t>C76947</t>
  </si>
  <si>
    <t>C5189696</t>
  </si>
  <si>
    <t>C77102</t>
  </si>
  <si>
    <t>C907991</t>
  </si>
  <si>
    <t>C354386</t>
  </si>
  <si>
    <t>C107056</t>
  </si>
  <si>
    <t>C2173059</t>
  </si>
  <si>
    <t>C1517827</t>
  </si>
  <si>
    <t>C408549</t>
  </si>
  <si>
    <t>C3877267</t>
  </si>
  <si>
    <t>C559769</t>
  </si>
  <si>
    <t>C77033</t>
  </si>
  <si>
    <t>C914769</t>
  </si>
  <si>
    <t>C122251</t>
  </si>
  <si>
    <t>C126578</t>
  </si>
  <si>
    <t>C106245</t>
  </si>
  <si>
    <t>C113797</t>
  </si>
  <si>
    <t>C541372</t>
  </si>
  <si>
    <t>C326568</t>
  </si>
  <si>
    <t>C962143</t>
  </si>
  <si>
    <t>C441758</t>
  </si>
  <si>
    <t>C502551</t>
  </si>
  <si>
    <t>C232841</t>
  </si>
  <si>
    <t>C82544</t>
  </si>
  <si>
    <t>C80165</t>
  </si>
  <si>
    <t>C5691101</t>
  </si>
  <si>
    <t>C707313</t>
  </si>
  <si>
    <t>C506798</t>
  </si>
  <si>
    <t>C434808</t>
  </si>
  <si>
    <t>C157972</t>
  </si>
  <si>
    <t>C412310</t>
  </si>
  <si>
    <t>C135270</t>
  </si>
  <si>
    <t>C780206</t>
  </si>
  <si>
    <t>C340373</t>
  </si>
  <si>
    <t>C524629</t>
  </si>
  <si>
    <t>C7470717</t>
  </si>
  <si>
    <t>C3151730</t>
  </si>
  <si>
    <t>C99697</t>
  </si>
  <si>
    <t>C88602</t>
  </si>
  <si>
    <t>C89811</t>
  </si>
  <si>
    <t>C391030</t>
  </si>
  <si>
    <t>C94515</t>
  </si>
  <si>
    <t>C111728</t>
  </si>
  <si>
    <t>C93943</t>
  </si>
  <si>
    <t>C137986</t>
  </si>
  <si>
    <t>C163457</t>
  </si>
  <si>
    <t>C60490</t>
  </si>
  <si>
    <t>C705643</t>
  </si>
  <si>
    <t>C114640</t>
  </si>
  <si>
    <t>C852943</t>
  </si>
  <si>
    <t>C190095</t>
  </si>
  <si>
    <t>C852472</t>
  </si>
  <si>
    <t>C106235</t>
  </si>
  <si>
    <t>C105871</t>
  </si>
  <si>
    <t>C105580</t>
  </si>
  <si>
    <t>C106231</t>
  </si>
  <si>
    <t>C60488</t>
  </si>
  <si>
    <t>C114755</t>
  </si>
  <si>
    <t>C114763</t>
  </si>
  <si>
    <t>C100044</t>
  </si>
  <si>
    <t>C861454</t>
  </si>
  <si>
    <t>C114625</t>
  </si>
  <si>
    <t>C728599</t>
  </si>
  <si>
    <t>C705802</t>
  </si>
  <si>
    <t>C861467</t>
  </si>
  <si>
    <t>C98220</t>
  </si>
  <si>
    <t>C105575</t>
  </si>
  <si>
    <t>C14675</t>
  </si>
  <si>
    <t>C245971</t>
  </si>
  <si>
    <t>C100001</t>
  </si>
  <si>
    <t>C114628</t>
  </si>
  <si>
    <t>C861548</t>
  </si>
  <si>
    <t>C163425</t>
  </si>
  <si>
    <t>C138037</t>
  </si>
  <si>
    <t>C137965</t>
  </si>
  <si>
    <t>C185372</t>
  </si>
  <si>
    <t>C107231</t>
  </si>
  <si>
    <t>C112310</t>
  </si>
  <si>
    <t>C114638</t>
  </si>
  <si>
    <t>C137714</t>
  </si>
  <si>
    <t>C105588</t>
  </si>
  <si>
    <t>C109318</t>
  </si>
  <si>
    <t>C853448</t>
  </si>
  <si>
    <t>C185305</t>
  </si>
  <si>
    <t>C105578</t>
  </si>
  <si>
    <t>C22548</t>
  </si>
  <si>
    <t>C105579</t>
  </si>
  <si>
    <t>C107701</t>
  </si>
  <si>
    <t>C99782</t>
  </si>
  <si>
    <t>C274900</t>
  </si>
  <si>
    <t>C6558197</t>
  </si>
  <si>
    <t>C720477</t>
  </si>
  <si>
    <t>C455124</t>
  </si>
  <si>
    <t>C2687449</t>
  </si>
  <si>
    <t>C401662</t>
  </si>
  <si>
    <t>C7440</t>
  </si>
  <si>
    <t>C84681</t>
  </si>
  <si>
    <t>C3200405</t>
  </si>
  <si>
    <t>C138722</t>
  </si>
  <si>
    <t>C1513007</t>
  </si>
  <si>
    <t>C129193</t>
  </si>
  <si>
    <t>C9972</t>
  </si>
  <si>
    <t>C219024</t>
  </si>
  <si>
    <t>C702280</t>
  </si>
  <si>
    <t>C2864320</t>
  </si>
  <si>
    <t>C17206</t>
  </si>
  <si>
    <t>C331579</t>
  </si>
  <si>
    <t>C182057</t>
  </si>
  <si>
    <t>C112587</t>
  </si>
  <si>
    <t>15pF</t>
  </si>
  <si>
    <t>1uF</t>
  </si>
  <si>
    <t>10uF</t>
  </si>
  <si>
    <t>0.1uF</t>
  </si>
  <si>
    <t>0.47F</t>
  </si>
  <si>
    <t>12pF</t>
  </si>
  <si>
    <t>4.7uF</t>
  </si>
  <si>
    <t>1nF</t>
  </si>
  <si>
    <t>10nF</t>
  </si>
  <si>
    <t>22uF</t>
  </si>
  <si>
    <t>47nF</t>
  </si>
  <si>
    <t>82pF</t>
  </si>
  <si>
    <t>33nF</t>
  </si>
  <si>
    <t>22pF</t>
  </si>
  <si>
    <t>3.3nF</t>
  </si>
  <si>
    <t>2.2nF</t>
  </si>
  <si>
    <t>0.01uF</t>
  </si>
  <si>
    <t>2.2uF</t>
  </si>
  <si>
    <t>100uF</t>
  </si>
  <si>
    <t>33pF</t>
  </si>
  <si>
    <t>10pF</t>
  </si>
  <si>
    <t>30pF</t>
  </si>
  <si>
    <t>DNP</t>
  </si>
  <si>
    <t>6.8uH</t>
  </si>
  <si>
    <t>4.7uH</t>
  </si>
  <si>
    <t>22uH</t>
  </si>
  <si>
    <t>47K</t>
  </si>
  <si>
    <t>3.3R</t>
  </si>
  <si>
    <t>5.6K</t>
  </si>
  <si>
    <t>10K</t>
  </si>
  <si>
    <t>11K</t>
  </si>
  <si>
    <t>120R</t>
  </si>
  <si>
    <t>6.8K</t>
  </si>
  <si>
    <t>8.2K</t>
  </si>
  <si>
    <t>100K</t>
  </si>
  <si>
    <t>1K</t>
  </si>
  <si>
    <t>4.7K</t>
  </si>
  <si>
    <t>5.1K</t>
  </si>
  <si>
    <t>0R</t>
  </si>
  <si>
    <t>2K</t>
  </si>
  <si>
    <t>240R</t>
  </si>
  <si>
    <t>200K</t>
  </si>
  <si>
    <t>511K</t>
  </si>
  <si>
    <t>49.9R</t>
  </si>
  <si>
    <t>88.7K</t>
  </si>
  <si>
    <t>10.2K</t>
  </si>
  <si>
    <t>53.6K</t>
  </si>
  <si>
    <t>20K</t>
  </si>
  <si>
    <t>45.3K</t>
  </si>
  <si>
    <t>30K</t>
  </si>
  <si>
    <t>51R</t>
  </si>
  <si>
    <t>73.2K</t>
  </si>
  <si>
    <t>37.4K</t>
  </si>
  <si>
    <t>1.87K</t>
  </si>
  <si>
    <t>4.99K</t>
  </si>
  <si>
    <t>140K</t>
  </si>
  <si>
    <t>51K</t>
  </si>
  <si>
    <t>680R</t>
  </si>
  <si>
    <t>820R</t>
  </si>
  <si>
    <t>499R</t>
  </si>
  <si>
    <t>100R</t>
  </si>
  <si>
    <t>10R</t>
  </si>
  <si>
    <t>9.53K</t>
  </si>
  <si>
    <t>90.9K</t>
  </si>
  <si>
    <t>1M</t>
  </si>
  <si>
    <t>22R</t>
  </si>
  <si>
    <t>10M</t>
  </si>
  <si>
    <t>24MHz</t>
  </si>
  <si>
    <t>32.768kHz</t>
  </si>
  <si>
    <t>Quantity</t>
  </si>
  <si>
    <t>Alternate Part Number</t>
  </si>
  <si>
    <t>Value</t>
  </si>
  <si>
    <t>Quantity (10 Boards)</t>
  </si>
  <si>
    <t>MOQ (10 Boards)</t>
  </si>
  <si>
    <t>Links</t>
  </si>
  <si>
    <t>Unit Cost (10 Boards)</t>
  </si>
  <si>
    <t>Total Cost (10 Boards)</t>
  </si>
  <si>
    <t>Remarks</t>
  </si>
  <si>
    <t>Bill of Materials for Project [OFP_MCM_v1.5</t>
  </si>
  <si>
    <t>OFP_MCM_v1.5</t>
  </si>
  <si>
    <t>C4, C11, C16, C20, C33, C37, C41, C57, C58, C93, C94, C149</t>
  </si>
  <si>
    <t>C7, C12, C13, C14, C15, C18, C19, C24, C27, C28, C29, C30, C31, C35, C36, C39, C40, C43, C44, C46, C95, C97, C111, C114, C117, C120, C124, C127, C130, C133</t>
  </si>
  <si>
    <t>LED2, LED3, LED4, LED5, LED8</t>
  </si>
  <si>
    <t>R18, R19, R90, R91, R92, R94</t>
  </si>
  <si>
    <t>Peripheral</t>
  </si>
  <si>
    <t>-</t>
  </si>
  <si>
    <t>20cm IPEX to SMA 1Gen RF Cables ROHS</t>
  </si>
  <si>
    <t>Custom</t>
  </si>
  <si>
    <t>BWIPX1-SMA-1.13L200</t>
  </si>
  <si>
    <t>BAT WIRELESS</t>
  </si>
  <si>
    <t xml:space="preserve">Storage products </t>
  </si>
  <si>
    <t>MKUS008G-IGT1A</t>
  </si>
  <si>
    <t>MK</t>
  </si>
  <si>
    <t>0.3mm 40P 0.5mm Same Side 10cm P=0.5mm FFC Cable (Flexible Flat Cable) ROHS</t>
  </si>
  <si>
    <t>JS05A-40P-100-3-4</t>
  </si>
  <si>
    <t>JUSHUO</t>
  </si>
  <si>
    <t>3 4G Antenna 3.8dBi Linear 10W Antennas ROHS</t>
  </si>
  <si>
    <t>AECW004</t>
  </si>
  <si>
    <t>MyAntenna</t>
  </si>
  <si>
    <t>or any other industrial microSD card with 8GB of storage</t>
  </si>
  <si>
    <t>SD Card</t>
  </si>
  <si>
    <t>DO NOT PLACE</t>
  </si>
  <si>
    <t>C318563</t>
  </si>
  <si>
    <t>C85973</t>
  </si>
  <si>
    <t>C330255</t>
  </si>
  <si>
    <t>C2877942</t>
  </si>
  <si>
    <t>C784405</t>
  </si>
  <si>
    <t>C41367990</t>
  </si>
  <si>
    <t>C5151968</t>
  </si>
  <si>
    <t>C22467637</t>
  </si>
  <si>
    <t>0.0210</t>
  </si>
  <si>
    <t>0.0191</t>
  </si>
  <si>
    <t>0.0473</t>
  </si>
  <si>
    <t>0.0030</t>
  </si>
  <si>
    <t>LCSC</t>
  </si>
  <si>
    <t>0.0248</t>
  </si>
  <si>
    <t>0.0172</t>
  </si>
  <si>
    <t>0.0128</t>
  </si>
  <si>
    <t>0.0047</t>
  </si>
  <si>
    <t>0.0096</t>
  </si>
  <si>
    <t>0.1575</t>
  </si>
  <si>
    <t>0.0894</t>
  </si>
  <si>
    <t>0.0414</t>
  </si>
  <si>
    <t>0.0443</t>
  </si>
  <si>
    <t>0.1426</t>
  </si>
  <si>
    <t>0.0189</t>
  </si>
  <si>
    <t>0.0572</t>
  </si>
  <si>
    <t>0.0258</t>
  </si>
  <si>
    <t>0.0122</t>
  </si>
  <si>
    <t>0.0254</t>
  </si>
  <si>
    <t>0.2282</t>
  </si>
  <si>
    <t>0.0179</t>
  </si>
  <si>
    <t>0.0025</t>
  </si>
  <si>
    <t>0.0032</t>
  </si>
  <si>
    <t>0.0011</t>
  </si>
  <si>
    <t>0.0076</t>
  </si>
  <si>
    <t>0.0229</t>
  </si>
  <si>
    <t>0.0219</t>
  </si>
  <si>
    <t>0.0233</t>
  </si>
  <si>
    <t>0.0079</t>
  </si>
  <si>
    <t>1.4689</t>
  </si>
  <si>
    <t>0.0804</t>
  </si>
  <si>
    <t>0.2440</t>
  </si>
  <si>
    <t>0.2903</t>
  </si>
  <si>
    <t>0.3067</t>
  </si>
  <si>
    <t>0.0992</t>
  </si>
  <si>
    <t>0.5326</t>
  </si>
  <si>
    <t>0.0557</t>
  </si>
  <si>
    <t>0.2390</t>
  </si>
  <si>
    <t>0.0589</t>
  </si>
  <si>
    <t>0.0371</t>
  </si>
  <si>
    <t>0.0337</t>
  </si>
  <si>
    <t>0.0358</t>
  </si>
  <si>
    <t>0.0231</t>
  </si>
  <si>
    <t>0.3603</t>
  </si>
  <si>
    <t>0.0193</t>
  </si>
  <si>
    <t>0.0213</t>
  </si>
  <si>
    <t>0.0007</t>
  </si>
  <si>
    <t>0.0014</t>
  </si>
  <si>
    <t>0.0006</t>
  </si>
  <si>
    <t>0.0012</t>
  </si>
  <si>
    <t>0.0228</t>
  </si>
  <si>
    <t>0.0169</t>
  </si>
  <si>
    <t>0.0176</t>
  </si>
  <si>
    <t>0.0249</t>
  </si>
  <si>
    <t>0.0013</t>
  </si>
  <si>
    <t>0.0251</t>
  </si>
  <si>
    <t>0.0240</t>
  </si>
  <si>
    <t>0.0008</t>
  </si>
  <si>
    <t>0.0243</t>
  </si>
  <si>
    <t>0.0029</t>
  </si>
  <si>
    <t>0.0237</t>
  </si>
  <si>
    <t>0.2451</t>
  </si>
  <si>
    <t>0.0387</t>
  </si>
  <si>
    <t>0.0503</t>
  </si>
  <si>
    <t>4.9498</t>
  </si>
  <si>
    <t>0.5965</t>
  </si>
  <si>
    <t>0.3659</t>
  </si>
  <si>
    <t>0.4524</t>
  </si>
  <si>
    <t>0.3520</t>
  </si>
  <si>
    <t>0.4153</t>
  </si>
  <si>
    <t>0.0843</t>
  </si>
  <si>
    <t>0.4055</t>
  </si>
  <si>
    <t>0.1335</t>
  </si>
  <si>
    <t>1.7889</t>
  </si>
  <si>
    <t>0.3498</t>
  </si>
  <si>
    <t>0.7574</t>
  </si>
  <si>
    <t>3.0348</t>
  </si>
  <si>
    <t>0.2293</t>
  </si>
  <si>
    <t>0.1586</t>
  </si>
  <si>
    <t>0.2244</t>
  </si>
  <si>
    <t>0.2895</t>
  </si>
  <si>
    <t>0.6061</t>
  </si>
  <si>
    <t>5.6340</t>
  </si>
  <si>
    <t>0.1280</t>
  </si>
  <si>
    <t>1.4698</t>
  </si>
  <si>
    <t>40</t>
  </si>
  <si>
    <t>100</t>
  </si>
  <si>
    <t>150</t>
  </si>
  <si>
    <t>50</t>
  </si>
  <si>
    <t>20</t>
  </si>
  <si>
    <t>10</t>
  </si>
  <si>
    <t>80</t>
  </si>
  <si>
    <t>60</t>
  </si>
  <si>
    <t>200</t>
  </si>
  <si>
    <t>Chipsmall</t>
  </si>
  <si>
    <t>JLCPCB</t>
  </si>
  <si>
    <t>Quantity (1000 Boards)</t>
  </si>
  <si>
    <t>MOQ (1000 Boards)</t>
  </si>
  <si>
    <t>Unit Cost (1000 Boards)</t>
  </si>
  <si>
    <t>Total Cost (1000 Boards)</t>
  </si>
  <si>
    <t>0.0162</t>
  </si>
  <si>
    <t>0.0326</t>
  </si>
  <si>
    <t>0.0018</t>
  </si>
  <si>
    <t>0.0159</t>
  </si>
  <si>
    <t>0.0140</t>
  </si>
  <si>
    <t>0.0087</t>
  </si>
  <si>
    <t>0.0038</t>
  </si>
  <si>
    <t>0.0066</t>
  </si>
  <si>
    <t>0.1076</t>
  </si>
  <si>
    <t>0.0565</t>
  </si>
  <si>
    <t>0.0250</t>
  </si>
  <si>
    <t>0.0023</t>
  </si>
  <si>
    <t>0.0290</t>
  </si>
  <si>
    <t>0.0957</t>
  </si>
  <si>
    <t>0.0103</t>
  </si>
  <si>
    <t>0.0347</t>
  </si>
  <si>
    <t>0.0167</t>
  </si>
  <si>
    <t>0.0081</t>
  </si>
  <si>
    <t>0.1142</t>
  </si>
  <si>
    <t>0.0124</t>
  </si>
  <si>
    <t>0.0019</t>
  </si>
  <si>
    <t>0.0024</t>
  </si>
  <si>
    <t>0.0060</t>
  </si>
  <si>
    <t>0.0156</t>
  </si>
  <si>
    <t>0.0102</t>
  </si>
  <si>
    <t>0.0163</t>
  </si>
  <si>
    <t>0.0063</t>
  </si>
  <si>
    <t>0.8117</t>
  </si>
  <si>
    <t>0.0485</t>
  </si>
  <si>
    <t>0.1398</t>
  </si>
  <si>
    <t>0.1776</t>
  </si>
  <si>
    <t>0.1861</t>
  </si>
  <si>
    <t>0.0569</t>
  </si>
  <si>
    <t>0.3433</t>
  </si>
  <si>
    <t>0.1568</t>
  </si>
  <si>
    <t>0.0410</t>
  </si>
  <si>
    <t>0.0217</t>
  </si>
  <si>
    <t>0.0139</t>
  </si>
  <si>
    <t>0.0190</t>
  </si>
  <si>
    <t>0.0234</t>
  </si>
  <si>
    <t>0.2227</t>
  </si>
  <si>
    <t>0.0120</t>
  </si>
  <si>
    <t>0.0119</t>
  </si>
  <si>
    <t>0.0005</t>
  </si>
  <si>
    <t>0.0004</t>
  </si>
  <si>
    <t>0.0009</t>
  </si>
  <si>
    <t>0.0152</t>
  </si>
  <si>
    <t>0.0131</t>
  </si>
  <si>
    <t>0.0142</t>
  </si>
  <si>
    <t>0.0010</t>
  </si>
  <si>
    <t>0.0170</t>
  </si>
  <si>
    <t>0.0160</t>
  </si>
  <si>
    <t>0.0164</t>
  </si>
  <si>
    <t>0.0168</t>
  </si>
  <si>
    <t>0.0022</t>
  </si>
  <si>
    <t>0.0153</t>
  </si>
  <si>
    <t>0.2358</t>
  </si>
  <si>
    <t>0.0311</t>
  </si>
  <si>
    <t>3.4520</t>
  </si>
  <si>
    <t>0.4081</t>
  </si>
  <si>
    <t>0.2773</t>
  </si>
  <si>
    <t>0.3196</t>
  </si>
  <si>
    <t>0.2393</t>
  </si>
  <si>
    <t>0.2640</t>
  </si>
  <si>
    <t>0.0529</t>
  </si>
  <si>
    <t>0.2540</t>
  </si>
  <si>
    <t>0.0862</t>
  </si>
  <si>
    <t>1.1857</t>
  </si>
  <si>
    <t>0.2050</t>
  </si>
  <si>
    <t>0.4730</t>
  </si>
  <si>
    <t>2.3963</t>
  </si>
  <si>
    <t>1000</t>
  </si>
  <si>
    <t>2000</t>
  </si>
  <si>
    <t>7000</t>
  </si>
  <si>
    <t>0.1260</t>
  </si>
  <si>
    <t>0.0915</t>
  </si>
  <si>
    <t>0.1253</t>
  </si>
  <si>
    <t>0.1549</t>
  </si>
  <si>
    <t>0.4263</t>
  </si>
  <si>
    <t>0.0754</t>
  </si>
  <si>
    <t>1.0434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</si>
</sst>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>
      <alignment vertical="center"/>
    </xf>
  </cellStyleXfs>
  <cellXfs count="5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9" fillId="2" borderId="7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165" fontId="19" fillId="2" borderId="8" xfId="0" applyNumberFormat="1" applyFont="1" applyFill="1" applyBorder="1" applyAlignment="1">
      <alignment horizontal="center" vertical="center" wrapText="1"/>
    </xf>
    <xf numFmtId="165" fontId="19" fillId="2" borderId="7" xfId="0" applyNumberFormat="1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center" wrapText="1"/>
    </xf>
    <xf numFmtId="0" fontId="22" fillId="0" borderId="13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rystals_txc-corp-7m24000192_C331579.html" TargetMode="External"/><Relationship Id="rId21" Type="http://schemas.openxmlformats.org/officeDocument/2006/relationships/hyperlink" Target="https://www.lcsc.com/product-detail/multilayer-ceramic-capacitors-mlcc-smd-smt_yageo-cc0603krx7r7bb225_C914769.html" TargetMode="External"/><Relationship Id="rId42" Type="http://schemas.openxmlformats.org/officeDocument/2006/relationships/hyperlink" Target="https://www.lcsc.com/product-detail/power-inductors_yjycoin-ynr4018-220m_C340373.html" TargetMode="External"/><Relationship Id="rId63" Type="http://schemas.openxmlformats.org/officeDocument/2006/relationships/hyperlink" Target="https://www.lcsc.com/product-detail/chip-resistor-surface-mount_yageo-rc0603fr-075k1l_C105580.html" TargetMode="External"/><Relationship Id="rId84" Type="http://schemas.openxmlformats.org/officeDocument/2006/relationships/hyperlink" Target="https://www.lcsc.com/product-detail/chip-resistor-surface-mount_yageo-rc0603fr-07140kl_C185372.html" TargetMode="External"/><Relationship Id="rId16" Type="http://schemas.openxmlformats.org/officeDocument/2006/relationships/hyperlink" Target="https://www.lcsc.com/product-detail/multilayer-ceramic-capacitors-mlcc-smd-smt_murata-electronics-gcm1885c2a220ja16d_C408549.html" TargetMode="External"/><Relationship Id="rId107" Type="http://schemas.openxmlformats.org/officeDocument/2006/relationships/hyperlink" Target="https://www.lcsc.com/product-detail/dc-dc-converters_texas-instruments-tps62933drlr_C3200405.html" TargetMode="External"/><Relationship Id="rId11" Type="http://schemas.openxmlformats.org/officeDocument/2006/relationships/hyperlink" Target="https://www.lcsc.com/product-detail/multilayer-ceramic-capacitors-mlcc-smd-smt_murata-electronics-grm21bz71a226me15l_C907991.html" TargetMode="External"/><Relationship Id="rId32" Type="http://schemas.openxmlformats.org/officeDocument/2006/relationships/hyperlink" Target="https://www.lcsc.com/product-detail/ferrite-beads_murata-electronics-blm18pg221sn1d_C80165.html" TargetMode="External"/><Relationship Id="rId37" Type="http://schemas.openxmlformats.org/officeDocument/2006/relationships/hyperlink" Target="https://www.lcsc.com/product-detail/coaxial-connectors-rf_hrs-hirose-u-fl-r-smt-10_C434808.html" TargetMode="External"/><Relationship Id="rId53" Type="http://schemas.openxmlformats.org/officeDocument/2006/relationships/hyperlink" Target="https://www.lcsc.com/product-detail/chip-resistor-surface-mount_yageo-rc0402fr-075k6l_C163457.html" TargetMode="External"/><Relationship Id="rId58" Type="http://schemas.openxmlformats.org/officeDocument/2006/relationships/hyperlink" Target="https://www.lcsc.com/product-detail/chip-resistor-surface-mount_yageo-rt0402brd078k2l_C852943.html" TargetMode="External"/><Relationship Id="rId74" Type="http://schemas.openxmlformats.org/officeDocument/2006/relationships/hyperlink" Target="https://www.lcsc.com/product-detail/chip-resistor-surface-mount_yageo-rc0603fr-0710kl_C98220.html" TargetMode="External"/><Relationship Id="rId79" Type="http://schemas.openxmlformats.org/officeDocument/2006/relationships/hyperlink" Target="https://www.lcsc.com/product-detail/chip-resistor-surface-mount_yageo-rc0603fr-0751rl_C114628.html" TargetMode="External"/><Relationship Id="rId102" Type="http://schemas.openxmlformats.org/officeDocument/2006/relationships/hyperlink" Target="https://www.lcsc.com/product-detail/tactile-switches_xunpu-ts-1002s-12026c_C455124.html" TargetMode="External"/><Relationship Id="rId123" Type="http://schemas.openxmlformats.org/officeDocument/2006/relationships/hyperlink" Target="https://www.lcsc.com/product-detail/antennas_myantenna-aecw004_C22467637.html" TargetMode="External"/><Relationship Id="rId128" Type="http://schemas.openxmlformats.org/officeDocument/2006/relationships/hyperlink" Target="https://www.lcsc.com/product-detail/Chip-Resistor-Surface-Mount_YAGEO-RC0603FR-0747KL_C105579.html?s_z=n_C105579" TargetMode="External"/><Relationship Id="rId5" Type="http://schemas.openxmlformats.org/officeDocument/2006/relationships/hyperlink" Target="https://www.lcsc.com/product-detail/multilayer-ceramic-capacitors-mlcc-smd-smt_murata-electronics-gcj188r71h104ka12d_C161115.html" TargetMode="External"/><Relationship Id="rId90" Type="http://schemas.openxmlformats.org/officeDocument/2006/relationships/hyperlink" Target="https://www.lcsc.com/product-detail/chip-resistor-surface-mount_yageo-rc0603fr-0710rl_C109318.html" TargetMode="External"/><Relationship Id="rId95" Type="http://schemas.openxmlformats.org/officeDocument/2006/relationships/hyperlink" Target="https://www.lcsc.com/product-detail/chip-resistor-surface-mount_yageo-rc0603fr-07680rl_C112310.html" TargetMode="External"/><Relationship Id="rId22" Type="http://schemas.openxmlformats.org/officeDocument/2006/relationships/hyperlink" Target="https://www.lcsc.com/product-detail/tantalum-capacitors_kemet-t490a107m006ate800_C122251.html" TargetMode="External"/><Relationship Id="rId27" Type="http://schemas.openxmlformats.org/officeDocument/2006/relationships/hyperlink" Target="https://www.lcsc.com/product-detail/multilayer-ceramic-capacitors-mlcc-smd-smt_yageo-cc0402krx5r8bb105_C326568.html" TargetMode="External"/><Relationship Id="rId43" Type="http://schemas.openxmlformats.org/officeDocument/2006/relationships/hyperlink" Target="https://www.lcsc.com/product-detail/inductors-smd_murata-electronics-lqg18hh47nj00d_C524629.html" TargetMode="External"/><Relationship Id="rId48" Type="http://schemas.openxmlformats.org/officeDocument/2006/relationships/hyperlink" Target="https://www.lcsc.com/product-detail/buzzers_fuet-fuet-5025_C391030.html" TargetMode="External"/><Relationship Id="rId64" Type="http://schemas.openxmlformats.org/officeDocument/2006/relationships/hyperlink" Target="https://www.lcsc.com/product-detail/chip-resistor-surface-mount_yageo-rc0402fr-070rl_C106231.html" TargetMode="External"/><Relationship Id="rId69" Type="http://schemas.openxmlformats.org/officeDocument/2006/relationships/hyperlink" Target="https://www.lcsc.com/product-detail/chip-resistor-surface-mount_yageo-rt0603brd07511kl_C861454.html" TargetMode="External"/><Relationship Id="rId113" Type="http://schemas.openxmlformats.org/officeDocument/2006/relationships/hyperlink" Target="https://www.lcsc.com/product-detail/touch-screen-controllers_shenzhen-nsiway-tech-ns2009_C219024.html" TargetMode="External"/><Relationship Id="rId118" Type="http://schemas.openxmlformats.org/officeDocument/2006/relationships/hyperlink" Target="https://www.lcsc.com/product-detail/crystals_citizen-cm315d32768dzft_C182057.html" TargetMode="External"/><Relationship Id="rId80" Type="http://schemas.openxmlformats.org/officeDocument/2006/relationships/hyperlink" Target="https://www.lcsc.com/product-detail/chip-resistor-surface-mount_yageo-rt0603brd0773k2l_C861548.html" TargetMode="External"/><Relationship Id="rId85" Type="http://schemas.openxmlformats.org/officeDocument/2006/relationships/hyperlink" Target="https://www.lcsc.com/product-detail/chip-resistor-surface-mount_yageo-rc0603fr-0751kl_C107231.html" TargetMode="External"/><Relationship Id="rId12" Type="http://schemas.openxmlformats.org/officeDocument/2006/relationships/hyperlink" Target="https://www.lcsc.com/product-detail/multilayer-ceramic-capacitors-mlcc-smd-smt_murata-electronics-gcj188r71h473ka12d_C354386.html" TargetMode="External"/><Relationship Id="rId17" Type="http://schemas.openxmlformats.org/officeDocument/2006/relationships/hyperlink" Target="https://www.lcsc.com/product-detail/multilayer-ceramic-capacitors-mlcc-smd-smt_murata-electronics-gcm1885c1h332fa16d_C3877267.html" TargetMode="External"/><Relationship Id="rId33" Type="http://schemas.openxmlformats.org/officeDocument/2006/relationships/hyperlink" Target="https://www.lcsc.com/product-detail/ffc-fpc-flat-flexible-connector-assemblies_hanxia-hx0-5-10p-xjh2-0-043_C5691101.html" TargetMode="External"/><Relationship Id="rId38" Type="http://schemas.openxmlformats.org/officeDocument/2006/relationships/hyperlink" Target="https://www.lcsc.com/product-detail/wire-to-board-connector_jst-b8b-xh-a-lf-sn_C157972.html" TargetMode="External"/><Relationship Id="rId59" Type="http://schemas.openxmlformats.org/officeDocument/2006/relationships/hyperlink" Target="https://www.lcsc.com/product-detail/chip-resistor-surface-mount_yageo-rt0402brd0710kl_C190095.html" TargetMode="External"/><Relationship Id="rId103" Type="http://schemas.openxmlformats.org/officeDocument/2006/relationships/hyperlink" Target="https://www.lcsc.com/product-detail/microcontrollers-mcu-mpu-soc_allwinner-tech-v3s_C2687449.html" TargetMode="External"/><Relationship Id="rId108" Type="http://schemas.openxmlformats.org/officeDocument/2006/relationships/hyperlink" Target="https://www.lcsc.com/product-detail/dc-dc-converters_texas-instruments-tps65261rhbr_C138722.html" TargetMode="External"/><Relationship Id="rId124" Type="http://schemas.openxmlformats.org/officeDocument/2006/relationships/hyperlink" Target="https://www.lcsc.com/product-detail/usb-hub-controllers_texas-instruments-tusb4020biphpr_C2864320.html" TargetMode="External"/><Relationship Id="rId129" Type="http://schemas.openxmlformats.org/officeDocument/2006/relationships/hyperlink" Target="https://www.lcsc.com/product-detail/Chip-Resistor-Surface-Mount_YAGEO-RC0603FR-0722RL_C107701.html?s_z=n_C107701" TargetMode="External"/><Relationship Id="rId54" Type="http://schemas.openxmlformats.org/officeDocument/2006/relationships/hyperlink" Target="https://www.lcsc.com/product-detail/chip-resistor-surface-mount_yageo-rc0402fr-0710kl_C60490.html" TargetMode="External"/><Relationship Id="rId70" Type="http://schemas.openxmlformats.org/officeDocument/2006/relationships/hyperlink" Target="https://www.lcsc.com/product-detail/chip-resistor-surface-mount_yageo-rc0603fr-0749r9l_C114625.html" TargetMode="External"/><Relationship Id="rId75" Type="http://schemas.openxmlformats.org/officeDocument/2006/relationships/hyperlink" Target="https://www.lcsc.com/product-detail/chip-resistor-surface-mount_yageo-rc0603fr-0720kl_C105575.html" TargetMode="External"/><Relationship Id="rId91" Type="http://schemas.openxmlformats.org/officeDocument/2006/relationships/hyperlink" Target="https://www.lcsc.com/product-detail/chip-resistor-surface-mount_yageo-rc0603fr-070rl_C100044.html" TargetMode="External"/><Relationship Id="rId96" Type="http://schemas.openxmlformats.org/officeDocument/2006/relationships/hyperlink" Target="https://www.lcsc.com/product-detail/chip-resistor-surface-mount_yageo-rc0603fr-071kl_C22548.html" TargetMode="External"/><Relationship Id="rId1" Type="http://schemas.openxmlformats.org/officeDocument/2006/relationships/hyperlink" Target="https://www.lcsc.com/product-detail/multilayer-ceramic-capacitors-mlcc-smd-smt_murata-electronics-gjm1555c1h150fb01d_C441742.html" TargetMode="External"/><Relationship Id="rId6" Type="http://schemas.openxmlformats.org/officeDocument/2006/relationships/hyperlink" Target="https://www.lcsc.com/product-detail/multilayer-ceramic-capacitors-mlcc-smd-smt_murata-electronics-gcm1885c2a120ja16d_C701298.html" TargetMode="External"/><Relationship Id="rId23" Type="http://schemas.openxmlformats.org/officeDocument/2006/relationships/hyperlink" Target="https://www.lcsc.com/product-detail/multilayer-ceramic-capacitors-mlcc-smd-smt_murata-electronics-gcm1885c2a330ja16d_C126578.html" TargetMode="External"/><Relationship Id="rId28" Type="http://schemas.openxmlformats.org/officeDocument/2006/relationships/hyperlink" Target="https://www.lcsc.com/product-detail/multilayer-ceramic-capacitors-mlcc-smd-smt_yageo-cc0402mrx5r6bb106_C962143.html" TargetMode="External"/><Relationship Id="rId49" Type="http://schemas.openxmlformats.org/officeDocument/2006/relationships/hyperlink" Target="https://www.lcsc.com/product-detail/bipolar-bjt_diodes-incorporated-mmbt2222a-7-f_C94515.html" TargetMode="External"/><Relationship Id="rId114" Type="http://schemas.openxmlformats.org/officeDocument/2006/relationships/hyperlink" Target="https://www.lcsc.com/product-detail/led-drivers_texas-instruments-tps61158drvr_C702280.html" TargetMode="External"/><Relationship Id="rId119" Type="http://schemas.openxmlformats.org/officeDocument/2006/relationships/hyperlink" Target="https://www.lcsc.com/product-detail/crystals_yxc-crystal-oscillators-x503224msb4si_C112587.html" TargetMode="External"/><Relationship Id="rId44" Type="http://schemas.openxmlformats.org/officeDocument/2006/relationships/hyperlink" Target="https://www.lcsc.com/product-detail/led-indication-discrete_foshan-nationstar-optoelectronics-ncd0603r3_C3151730.html" TargetMode="External"/><Relationship Id="rId60" Type="http://schemas.openxmlformats.org/officeDocument/2006/relationships/hyperlink" Target="https://www.lcsc.com/product-detail/chip-resistor-surface-mount_yageo-rt0402brd07100kl_C852472.html" TargetMode="External"/><Relationship Id="rId65" Type="http://schemas.openxmlformats.org/officeDocument/2006/relationships/hyperlink" Target="https://www.lcsc.com/product-detail/chip-resistor-surface-mount_yageo-rc0402fr-072kl_C60488.html" TargetMode="External"/><Relationship Id="rId81" Type="http://schemas.openxmlformats.org/officeDocument/2006/relationships/hyperlink" Target="https://www.lcsc.com/product-detail/chip-resistor-surface-mount_yageo-rc0603fr-0737k4l_C163425.html" TargetMode="External"/><Relationship Id="rId86" Type="http://schemas.openxmlformats.org/officeDocument/2006/relationships/hyperlink" Target="https://www.lcsc.com/product-detail/chip-resistor-surface-mount_yageo-rc0603fr-07680rl_C112310.html" TargetMode="External"/><Relationship Id="rId130" Type="http://schemas.openxmlformats.org/officeDocument/2006/relationships/hyperlink" Target="https://www.chipsmall.com/Products/EC21EFA-512-STD_30856077.html" TargetMode="External"/><Relationship Id="rId13" Type="http://schemas.openxmlformats.org/officeDocument/2006/relationships/hyperlink" Target="https://www.lcsc.com/product-detail/multilayer-ceramic-capacitors-mlcc-smd-smt_yageo-cc0603jrnpo9bn820_C107056.html" TargetMode="External"/><Relationship Id="rId18" Type="http://schemas.openxmlformats.org/officeDocument/2006/relationships/hyperlink" Target="https://www.lcsc.com/product-detail/multilayer-ceramic-capacitors-mlcc-smd-smt_yageo-cc0603krx7r9bb105_C559769.html" TargetMode="External"/><Relationship Id="rId39" Type="http://schemas.openxmlformats.org/officeDocument/2006/relationships/hyperlink" Target="https://www.lcsc.com/product-detail/power-inductors_panasonic-etqp3m6r8kvn_C412310.html" TargetMode="External"/><Relationship Id="rId109" Type="http://schemas.openxmlformats.org/officeDocument/2006/relationships/hyperlink" Target="https://www.lcsc.com/product-detail/dc-dc-converters_texas-instruments-tps563202drlr_C1513007.html" TargetMode="External"/><Relationship Id="rId34" Type="http://schemas.openxmlformats.org/officeDocument/2006/relationships/hyperlink" Target="https://www.lcsc.com/product-detail/usb-connectors_korean-hroparts-elec-u-d-m5dd-y-3_C707313.html" TargetMode="External"/><Relationship Id="rId50" Type="http://schemas.openxmlformats.org/officeDocument/2006/relationships/hyperlink" Target="https://www.lcsc.com/product-detail/digital-transistors_rohm-semicon-dtc143zetl_C111728.html" TargetMode="External"/><Relationship Id="rId55" Type="http://schemas.openxmlformats.org/officeDocument/2006/relationships/hyperlink" Target="https://www.lcsc.com/product-detail/chip-resistor-surface-mount_yageo-rt0402bre0711kl_C705643.html" TargetMode="External"/><Relationship Id="rId76" Type="http://schemas.openxmlformats.org/officeDocument/2006/relationships/hyperlink" Target="https://www.lcsc.com/product-detail/chip-resistor-surface-mount_yageo-rc0603fr-07100kl_C14675.html" TargetMode="External"/><Relationship Id="rId97" Type="http://schemas.openxmlformats.org/officeDocument/2006/relationships/hyperlink" Target="https://www.lcsc.com/product-detail/chip-resistor-surface-mount_yageo-rc0603fr-074k7l_C99782.html" TargetMode="External"/><Relationship Id="rId104" Type="http://schemas.openxmlformats.org/officeDocument/2006/relationships/hyperlink" Target="https://www.lcsc.com/product-detail/nor-flash_winbond-elec-w25q128jveiq_C401662.html" TargetMode="External"/><Relationship Id="rId120" Type="http://schemas.openxmlformats.org/officeDocument/2006/relationships/hyperlink" Target="https://www.lcsc.com/product-detail/rf-cables_bat-wireless-bwipx1-sma-1-13l200_C784405.html" TargetMode="External"/><Relationship Id="rId125" Type="http://schemas.openxmlformats.org/officeDocument/2006/relationships/hyperlink" Target="https://item.szlcsc.com/238113.html?lcsc_vid=FlVYXwcDR1MKBlxfEgcLUgVXRgUMAlIDQFMNV1RfTlkxVlNSR1ZaU1NVR1JZUzsOAxUeFF5JWBYZEEoBGA4JCwFIFA4DSA%3D%3D" TargetMode="External"/><Relationship Id="rId7" Type="http://schemas.openxmlformats.org/officeDocument/2006/relationships/hyperlink" Target="https://www.lcsc.com/product-detail/multilayer-ceramic-capacitors-mlcc-smd-smt_samsung-electro-mechanics-cl05a475mo5nunc_C318563.html" TargetMode="External"/><Relationship Id="rId71" Type="http://schemas.openxmlformats.org/officeDocument/2006/relationships/hyperlink" Target="https://www.lcsc.com/product-detail/chip-resistor-surface-mount_yageo-rt0603brd0788k7l_C728599.html" TargetMode="External"/><Relationship Id="rId92" Type="http://schemas.openxmlformats.org/officeDocument/2006/relationships/hyperlink" Target="https://www.lcsc.com/product-detail/chip-resistor-surface-mount_yageo-rc0603fr-0790k9l_C185305.html" TargetMode="External"/><Relationship Id="rId2" Type="http://schemas.openxmlformats.org/officeDocument/2006/relationships/hyperlink" Target="https://www.lcsc.com/product-detail/multilayer-ceramic-capacitors-mlcc-smd-smt_murata-electronics-grm155r70j105ka12j_C2167130.html" TargetMode="External"/><Relationship Id="rId29" Type="http://schemas.openxmlformats.org/officeDocument/2006/relationships/hyperlink" Target="https://www.lcsc.com/product-detail/multilayer-ceramic-capacitors-mlcc-smd-smt_murata-electronics-grm1555c1e330ja01d_C441758.html" TargetMode="External"/><Relationship Id="rId24" Type="http://schemas.openxmlformats.org/officeDocument/2006/relationships/hyperlink" Target="https://www.lcsc.com/product-detail/multilayer-ceramic-capacitors-mlcc-smd-smt_yageo-cc0603jrnpo9bn100_C106245.html" TargetMode="External"/><Relationship Id="rId40" Type="http://schemas.openxmlformats.org/officeDocument/2006/relationships/hyperlink" Target="https://www.lcsc.com/product-detail/power-inductors_sxn-shun-xiang-nuo-elec-smnr4030-4r7mt_C135270.html" TargetMode="External"/><Relationship Id="rId45" Type="http://schemas.openxmlformats.org/officeDocument/2006/relationships/hyperlink" Target="https://www.lcsc.com/product-detail/led-indication-discrete_everlight-elec-333-2sygd-s530-e2-l_C99697.html" TargetMode="External"/><Relationship Id="rId66" Type="http://schemas.openxmlformats.org/officeDocument/2006/relationships/hyperlink" Target="https://www.lcsc.com/product-detail/chip-resistor-surface-mount_yageo-rc0402fr-07240rl_C114755.html" TargetMode="External"/><Relationship Id="rId87" Type="http://schemas.openxmlformats.org/officeDocument/2006/relationships/hyperlink" Target="https://www.lcsc.com/product-detail/chip-resistor-surface-mount_yageo-rc0603fr-07820rl_C114638.html" TargetMode="External"/><Relationship Id="rId110" Type="http://schemas.openxmlformats.org/officeDocument/2006/relationships/hyperlink" Target="https://www.lcsc.com/product-detail/voltage-regulators-linear-low-drop-out-ldo-regulators_texas-instruments-tps74801rgwr_C129193.html" TargetMode="External"/><Relationship Id="rId115" Type="http://schemas.openxmlformats.org/officeDocument/2006/relationships/hyperlink" Target="https://www.lcsc.com/product-detail/sd-card-memory-card-connector_molex-5027740891_C330255.html" TargetMode="External"/><Relationship Id="rId131" Type="http://schemas.openxmlformats.org/officeDocument/2006/relationships/hyperlink" Target="https://www.lcsc.com/product-detail/ESD-and-Surge-Protection-TVS-ESD_MDD-Microdiode-Semiconductor-ESD5Z3-3C_C502551.html?s_z=n_C502551" TargetMode="External"/><Relationship Id="rId61" Type="http://schemas.openxmlformats.org/officeDocument/2006/relationships/hyperlink" Target="https://www.lcsc.com/product-detail/chip-resistor-surface-mount_yageo-rc0402fr-071kl_C106235.html" TargetMode="External"/><Relationship Id="rId82" Type="http://schemas.openxmlformats.org/officeDocument/2006/relationships/hyperlink" Target="https://www.lcsc.com/product-detail/chip-resistor-surface-mount_yageo-rc0402fr-071k87l_C138037.html" TargetMode="External"/><Relationship Id="rId19" Type="http://schemas.openxmlformats.org/officeDocument/2006/relationships/hyperlink" Target="https://www.lcsc.com/product-detail/multilayer-ceramic-capacitors-mlcc-smd-smt_murata-electronics-grm1885c1h222ja01d_C77033.html" TargetMode="External"/><Relationship Id="rId14" Type="http://schemas.openxmlformats.org/officeDocument/2006/relationships/hyperlink" Target="https://www.lcsc.com/product-detail/multilayer-ceramic-capacitors-mlcc-smd-smt_murata-electronics-gcj188r71h333ka12d_C2173059.html" TargetMode="External"/><Relationship Id="rId30" Type="http://schemas.openxmlformats.org/officeDocument/2006/relationships/hyperlink" Target="https://www.lcsc.com/product-detail/switching-diodes_onsemi-1n4148wt_C232841.html" TargetMode="External"/><Relationship Id="rId35" Type="http://schemas.openxmlformats.org/officeDocument/2006/relationships/hyperlink" Target="https://www.lcsc.com/product-detail/ffc-fpc-flat-flexible-connector-assemblies_hrs-hirose-fh34srj-40s-0-5sh-50_C506798.html" TargetMode="External"/><Relationship Id="rId56" Type="http://schemas.openxmlformats.org/officeDocument/2006/relationships/hyperlink" Target="https://www.lcsc.com/product-detail/chip-resistor-surface-mount_yageo-rc0603fr-07120rl_C114640.html" TargetMode="External"/><Relationship Id="rId77" Type="http://schemas.openxmlformats.org/officeDocument/2006/relationships/hyperlink" Target="https://www.lcsc.com/product-detail/chip-resistor-surface-mount_yageo-rc0603fr-0745k3l_C245971.html" TargetMode="External"/><Relationship Id="rId100" Type="http://schemas.openxmlformats.org/officeDocument/2006/relationships/hyperlink" Target="https://www.lcsc.com/product-detail/tactile-switch-push-button-switch_te-connectivity-fsm6jsmatr_C6558197.html" TargetMode="External"/><Relationship Id="rId105" Type="http://schemas.openxmlformats.org/officeDocument/2006/relationships/hyperlink" Target="https://www.lcsc.com/product-detail/real-time-clocks_nxp-semicon-pcf8563t-5-518_C7440.html" TargetMode="External"/><Relationship Id="rId126" Type="http://schemas.openxmlformats.org/officeDocument/2006/relationships/hyperlink" Target="https://www.lcsc.com/product-detail/LED-Indication-Discrete_TONYU-DY-333SDRD-SN-A3-EL-HF_C7470717.html?s_z=n_C7470717" TargetMode="External"/><Relationship Id="rId8" Type="http://schemas.openxmlformats.org/officeDocument/2006/relationships/hyperlink" Target="https://www.lcsc.com/product-detail/multilayer-ceramic-capacitors-mlcc-smd-smt_murata-electronics-grm1555c1h102ja01d_C76947.html" TargetMode="External"/><Relationship Id="rId51" Type="http://schemas.openxmlformats.org/officeDocument/2006/relationships/hyperlink" Target="https://www.lcsc.com/product-detail/chip-resistor-surface-mount_yageo-rc0402fr-0747kl_C93943.html" TargetMode="External"/><Relationship Id="rId72" Type="http://schemas.openxmlformats.org/officeDocument/2006/relationships/hyperlink" Target="https://www.lcsc.com/product-detail/chip-resistor-surface-mount_yageo-rt0603bre0710k2l_C705802.html" TargetMode="External"/><Relationship Id="rId93" Type="http://schemas.openxmlformats.org/officeDocument/2006/relationships/hyperlink" Target="https://www.lcsc.com/product-detail/chip-resistor-surface-mount_yageo-rc0603fr-071ml_C105578.html" TargetMode="External"/><Relationship Id="rId98" Type="http://schemas.openxmlformats.org/officeDocument/2006/relationships/hyperlink" Target="https://www.lcsc.com/product-detail/chip-resistor-surface-mount_yageo-rc0603fr-0710rl_C109318.html" TargetMode="External"/><Relationship Id="rId121" Type="http://schemas.openxmlformats.org/officeDocument/2006/relationships/hyperlink" Target="https://www.lcsc.com/product-detail/storage-products_mk-mkus008g-igt1a_C41367990.html" TargetMode="External"/><Relationship Id="rId3" Type="http://schemas.openxmlformats.org/officeDocument/2006/relationships/hyperlink" Target="https://www.lcsc.com/product-detail/multilayer-ceramic-capacitors-mlcc-smd-smt_murata-electronics-grm188z71a106ka73d_C2959727.html" TargetMode="External"/><Relationship Id="rId25" Type="http://schemas.openxmlformats.org/officeDocument/2006/relationships/hyperlink" Target="https://www.lcsc.com/product-detail/multilayer-ceramic-capacitors-mlcc-smd-smt_yageo-cc0603jrnpo9bn300_C113797.html" TargetMode="External"/><Relationship Id="rId46" Type="http://schemas.openxmlformats.org/officeDocument/2006/relationships/hyperlink" Target="https://www.lcsc.com/product-detail/led-indication-discrete_everlight-elec-333-2uyd-s530-a3-l_C88602.html" TargetMode="External"/><Relationship Id="rId67" Type="http://schemas.openxmlformats.org/officeDocument/2006/relationships/hyperlink" Target="https://www.lcsc.com/product-detail/chip-resistor-surface-mount_yageo-rc0402fr-07200kl_C114763.html" TargetMode="External"/><Relationship Id="rId116" Type="http://schemas.openxmlformats.org/officeDocument/2006/relationships/hyperlink" Target="https://www.lcsc.com/product-detail/translators-level-shifters_texas-instruments-txs0108epwr_C17206.html" TargetMode="External"/><Relationship Id="rId20" Type="http://schemas.openxmlformats.org/officeDocument/2006/relationships/hyperlink" Target="https://www.lcsc.com/product-detail/multilayer-ceramic-capacitors-mlcc-smd-smt_murata-electronics-grm1885c1h103ja01d_C85973.html" TargetMode="External"/><Relationship Id="rId41" Type="http://schemas.openxmlformats.org/officeDocument/2006/relationships/hyperlink" Target="https://www.lcsc.com/product-detail/power-inductors_bourns-srn4018-4r7m_C780206.html" TargetMode="External"/><Relationship Id="rId62" Type="http://schemas.openxmlformats.org/officeDocument/2006/relationships/hyperlink" Target="https://www.lcsc.com/product-detail/chip-resistor-surface-mount_yageo-rc0402fr-074k7l_C105871.html" TargetMode="External"/><Relationship Id="rId83" Type="http://schemas.openxmlformats.org/officeDocument/2006/relationships/hyperlink" Target="https://www.lcsc.com/product-detail/chip-resistor-surface-mount_yageo-rc0402fr-074k99l_C137965.html" TargetMode="External"/><Relationship Id="rId88" Type="http://schemas.openxmlformats.org/officeDocument/2006/relationships/hyperlink" Target="https://www.lcsc.com/product-detail/chip-resistor-surface-mount_yageo-rc0603fr-07499rl_C137714.html" TargetMode="External"/><Relationship Id="rId111" Type="http://schemas.openxmlformats.org/officeDocument/2006/relationships/hyperlink" Target="https://www.lcsc.com/product-detail/voltage-regulators-linear-low-drop-out-ldo-regulators_torex-semicon-xc6206p302mr-g_C9972.html" TargetMode="External"/><Relationship Id="rId132" Type="http://schemas.openxmlformats.org/officeDocument/2006/relationships/hyperlink" Target="https://www.lcsc.com/product-detail/Chip-Resistor-Surface-Mount_YAGEO-RC0402JR-0710ML_C274900.html?s_z=n_C274900" TargetMode="External"/><Relationship Id="rId15" Type="http://schemas.openxmlformats.org/officeDocument/2006/relationships/hyperlink" Target="https://www.lcsc.com/product-detail/multilayer-ceramic-capacitors-mlcc-smd-smt_murata-electronics-grm21bz70j226me44l_C1517827.html" TargetMode="External"/><Relationship Id="rId36" Type="http://schemas.openxmlformats.org/officeDocument/2006/relationships/hyperlink" Target="https://www.lcsc.com/product-detail/coaxial-connectors-rf_hrs-hirose-u-fl-r-smt-10_C434808.html" TargetMode="External"/><Relationship Id="rId57" Type="http://schemas.openxmlformats.org/officeDocument/2006/relationships/hyperlink" Target="https://www.lcsc.com/product-detail/chip-resistor-surface-mount_yageo-rt0402brd078k2l_C852943.html" TargetMode="External"/><Relationship Id="rId106" Type="http://schemas.openxmlformats.org/officeDocument/2006/relationships/hyperlink" Target="https://www.lcsc.com/product-detail/usb-converters_wch-jiangsu-qin-heng-ch340c_C84681.html" TargetMode="External"/><Relationship Id="rId127" Type="http://schemas.openxmlformats.org/officeDocument/2006/relationships/hyperlink" Target="https://www.lcsc.com/product-detail/Chip-Resistor-Surface-Mount_YAGEO-RT0402BRE079K53L_C853448.html?s_z=n_C853448" TargetMode="External"/><Relationship Id="rId10" Type="http://schemas.openxmlformats.org/officeDocument/2006/relationships/hyperlink" Target="https://www.lcsc.com/product-detail/multilayer-ceramic-capacitors-mlcc-smd-smt_murata-electronics-grm32er71h106ka12l_C77102.html" TargetMode="External"/><Relationship Id="rId31" Type="http://schemas.openxmlformats.org/officeDocument/2006/relationships/hyperlink" Target="https://www.lcsc.com/product-detail/schottky-diodes_diodes-incorporated-1n5819hw-7-f_C82544.html" TargetMode="External"/><Relationship Id="rId52" Type="http://schemas.openxmlformats.org/officeDocument/2006/relationships/hyperlink" Target="https://www.lcsc.com/product-detail/chip-resistor-surface-mount_yageo-rc0402fr-073r3l_C137986.html" TargetMode="External"/><Relationship Id="rId73" Type="http://schemas.openxmlformats.org/officeDocument/2006/relationships/hyperlink" Target="https://www.lcsc.com/product-detail/chip-resistor-surface-mount_yageo-rt0603brd0753k6l_C861467.html" TargetMode="External"/><Relationship Id="rId78" Type="http://schemas.openxmlformats.org/officeDocument/2006/relationships/hyperlink" Target="https://www.lcsc.com/product-detail/chip-resistor-surface-mount_yageo-rc0603fr-0730kl_C100001.html" TargetMode="External"/><Relationship Id="rId94" Type="http://schemas.openxmlformats.org/officeDocument/2006/relationships/hyperlink" Target="https://www.lcsc.com/product-detail/chip-resistor-surface-mount_yageo-rc0603fr-071kl_C22548.html" TargetMode="External"/><Relationship Id="rId99" Type="http://schemas.openxmlformats.org/officeDocument/2006/relationships/hyperlink" Target="https://www.lcsc.com/product-detail/chip-resistor-surface-mount_yageo-rc0402fr-070rl_C106231.html" TargetMode="External"/><Relationship Id="rId101" Type="http://schemas.openxmlformats.org/officeDocument/2006/relationships/hyperlink" Target="https://www.lcsc.com/product-detail/tactile-switches_xunpu-ts-1088-ar02016_C720477.html" TargetMode="External"/><Relationship Id="rId122" Type="http://schemas.openxmlformats.org/officeDocument/2006/relationships/hyperlink" Target="https://www.lcsc.com/product-detail/ffc-cable-flexible-flat-cable_jushuo-js05a-40p-100-3-4_C5151968.html" TargetMode="External"/><Relationship Id="rId4" Type="http://schemas.openxmlformats.org/officeDocument/2006/relationships/hyperlink" Target="https://www.lcsc.com/product-detail/multilayer-ceramic-capacitors-mlcc-smd-smt_murata-electronics-grm155r71e104ke14d_C77014.html" TargetMode="External"/><Relationship Id="rId9" Type="http://schemas.openxmlformats.org/officeDocument/2006/relationships/hyperlink" Target="https://www.lcsc.com/product-detail/multilayer-ceramic-capacitors-mlcc-smd-smt_murata-electronics-gcm155r71h103ja55d_C5189696.html" TargetMode="External"/><Relationship Id="rId26" Type="http://schemas.openxmlformats.org/officeDocument/2006/relationships/hyperlink" Target="https://www.lcsc.com/product-detail/multilayer-ceramic-capacitors-mlcc-smd-smt_yageo-cc0402krx7r8bb102_C541372.html" TargetMode="External"/><Relationship Id="rId47" Type="http://schemas.openxmlformats.org/officeDocument/2006/relationships/hyperlink" Target="https://www.lcsc.com/product-detail/led-indication-discrete_foshan-nationstar-optoelectronics-ncd0603y2_C89811.html" TargetMode="External"/><Relationship Id="rId68" Type="http://schemas.openxmlformats.org/officeDocument/2006/relationships/hyperlink" Target="https://www.lcsc.com/product-detail/chip-resistor-surface-mount_yageo-rc0603fr-070rl_C100044.html" TargetMode="External"/><Relationship Id="rId89" Type="http://schemas.openxmlformats.org/officeDocument/2006/relationships/hyperlink" Target="https://www.lcsc.com/product-detail/chip-resistor-surface-mount_yageo-rc0603fr-07100rl_C105588.html" TargetMode="External"/><Relationship Id="rId112" Type="http://schemas.openxmlformats.org/officeDocument/2006/relationships/hyperlink" Target="https://www.lcsc.com/product-detail/voltage-regulators-linear-low-drop-out-ldo-regulators_texas-instruments-tps7a4533dcqr_C2877942.html" TargetMode="External"/><Relationship Id="rId133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rystals_txc-corp-7m24000192_C331579.html" TargetMode="External"/><Relationship Id="rId21" Type="http://schemas.openxmlformats.org/officeDocument/2006/relationships/hyperlink" Target="https://www.lcsc.com/product-detail/multilayer-ceramic-capacitors-mlcc-smd-smt_yageo-cc0603krx7r7bb225_C914769.html" TargetMode="External"/><Relationship Id="rId42" Type="http://schemas.openxmlformats.org/officeDocument/2006/relationships/hyperlink" Target="https://www.lcsc.com/product-detail/power-inductors_yjycoin-ynr4018-220m_C340373.html" TargetMode="External"/><Relationship Id="rId47" Type="http://schemas.openxmlformats.org/officeDocument/2006/relationships/hyperlink" Target="https://www.lcsc.com/product-detail/led-indication-discrete_foshan-nationstar-optoelectronics-ncd0603y2_C89811.html" TargetMode="External"/><Relationship Id="rId63" Type="http://schemas.openxmlformats.org/officeDocument/2006/relationships/hyperlink" Target="https://www.lcsc.com/product-detail/chip-resistor-surface-mount_yageo-rc0603fr-075k1l_C105580.html" TargetMode="External"/><Relationship Id="rId68" Type="http://schemas.openxmlformats.org/officeDocument/2006/relationships/hyperlink" Target="https://www.lcsc.com/product-detail/chip-resistor-surface-mount_yageo-rc0603fr-070rl_C100044.html" TargetMode="External"/><Relationship Id="rId84" Type="http://schemas.openxmlformats.org/officeDocument/2006/relationships/hyperlink" Target="https://www.lcsc.com/product-detail/chip-resistor-surface-mount_yageo-rc0603fr-07140kl_C185372.html" TargetMode="External"/><Relationship Id="rId89" Type="http://schemas.openxmlformats.org/officeDocument/2006/relationships/hyperlink" Target="https://www.lcsc.com/product-detail/chip-resistor-surface-mount_yageo-rc0603fr-07100rl_C105588.html" TargetMode="External"/><Relationship Id="rId112" Type="http://schemas.openxmlformats.org/officeDocument/2006/relationships/hyperlink" Target="https://www.lcsc.com/product-detail/voltage-regulators-linear-low-drop-out-ldo-regulators_texas-instruments-tps7a4533dcqr_C2877942.html" TargetMode="External"/><Relationship Id="rId16" Type="http://schemas.openxmlformats.org/officeDocument/2006/relationships/hyperlink" Target="https://www.lcsc.com/product-detail/multilayer-ceramic-capacitors-mlcc-smd-smt_murata-electronics-gcm1885c2a220ja16d_C408549.html" TargetMode="External"/><Relationship Id="rId107" Type="http://schemas.openxmlformats.org/officeDocument/2006/relationships/hyperlink" Target="https://www.lcsc.com/product-detail/dc-dc-converters_texas-instruments-tps62933drlr_C3200405.html" TargetMode="External"/><Relationship Id="rId11" Type="http://schemas.openxmlformats.org/officeDocument/2006/relationships/hyperlink" Target="https://www.lcsc.com/product-detail/multilayer-ceramic-capacitors-mlcc-smd-smt_murata-electronics-grm21bz71a226me15l_C907991.html" TargetMode="External"/><Relationship Id="rId32" Type="http://schemas.openxmlformats.org/officeDocument/2006/relationships/hyperlink" Target="https://www.lcsc.com/product-detail/ferrite-beads_murata-electronics-blm18pg221sn1d_C80165.html" TargetMode="External"/><Relationship Id="rId37" Type="http://schemas.openxmlformats.org/officeDocument/2006/relationships/hyperlink" Target="https://www.lcsc.com/product-detail/coaxial-connectors-rf_hrs-hirose-u-fl-r-smt-10_C434808.html" TargetMode="External"/><Relationship Id="rId53" Type="http://schemas.openxmlformats.org/officeDocument/2006/relationships/hyperlink" Target="https://www.lcsc.com/product-detail/chip-resistor-surface-mount_yageo-rc0402fr-075k6l_C163457.html" TargetMode="External"/><Relationship Id="rId58" Type="http://schemas.openxmlformats.org/officeDocument/2006/relationships/hyperlink" Target="https://www.lcsc.com/product-detail/chip-resistor-surface-mount_yageo-rt0402brd078k2l_C852943.html" TargetMode="External"/><Relationship Id="rId74" Type="http://schemas.openxmlformats.org/officeDocument/2006/relationships/hyperlink" Target="https://www.lcsc.com/product-detail/chip-resistor-surface-mount_yageo-rc0603fr-0710kl_C98220.html" TargetMode="External"/><Relationship Id="rId79" Type="http://schemas.openxmlformats.org/officeDocument/2006/relationships/hyperlink" Target="https://www.lcsc.com/product-detail/chip-resistor-surface-mount_yageo-rc0603fr-0751rl_C114628.html" TargetMode="External"/><Relationship Id="rId102" Type="http://schemas.openxmlformats.org/officeDocument/2006/relationships/hyperlink" Target="https://www.lcsc.com/product-detail/tactile-switches_xunpu-ts-1002s-12026c_C455124.html" TargetMode="External"/><Relationship Id="rId123" Type="http://schemas.openxmlformats.org/officeDocument/2006/relationships/hyperlink" Target="https://www.lcsc.com/product-detail/antennas_myantenna-aecw004_C22467637.html" TargetMode="External"/><Relationship Id="rId128" Type="http://schemas.openxmlformats.org/officeDocument/2006/relationships/hyperlink" Target="https://www.lcsc.com/product-detail/Chip-Resistor-Surface-Mount_YAGEO-RC0603FR-0747KL_C105579.html?s_z=n_C105579" TargetMode="External"/><Relationship Id="rId5" Type="http://schemas.openxmlformats.org/officeDocument/2006/relationships/hyperlink" Target="https://www.lcsc.com/product-detail/multilayer-ceramic-capacitors-mlcc-smd-smt_murata-electronics-gcj188r71h104ka12d_C161115.html" TargetMode="External"/><Relationship Id="rId90" Type="http://schemas.openxmlformats.org/officeDocument/2006/relationships/hyperlink" Target="https://www.lcsc.com/product-detail/chip-resistor-surface-mount_yageo-rc0603fr-0710rl_C109318.html" TargetMode="External"/><Relationship Id="rId95" Type="http://schemas.openxmlformats.org/officeDocument/2006/relationships/hyperlink" Target="https://www.lcsc.com/product-detail/chip-resistor-surface-mount_yageo-rc0603fr-07680rl_C112310.html" TargetMode="External"/><Relationship Id="rId22" Type="http://schemas.openxmlformats.org/officeDocument/2006/relationships/hyperlink" Target="https://www.lcsc.com/product-detail/tantalum-capacitors_kemet-t490a107m006ate800_C122251.html" TargetMode="External"/><Relationship Id="rId27" Type="http://schemas.openxmlformats.org/officeDocument/2006/relationships/hyperlink" Target="https://www.lcsc.com/product-detail/multilayer-ceramic-capacitors-mlcc-smd-smt_yageo-cc0402krx5r8bb105_C326568.html" TargetMode="External"/><Relationship Id="rId43" Type="http://schemas.openxmlformats.org/officeDocument/2006/relationships/hyperlink" Target="https://www.lcsc.com/product-detail/inductors-smd_murata-electronics-lqg18hh47nj00d_C524629.html" TargetMode="External"/><Relationship Id="rId48" Type="http://schemas.openxmlformats.org/officeDocument/2006/relationships/hyperlink" Target="https://www.lcsc.com/product-detail/buzzers_fuet-fuet-5025_C391030.html" TargetMode="External"/><Relationship Id="rId64" Type="http://schemas.openxmlformats.org/officeDocument/2006/relationships/hyperlink" Target="https://www.lcsc.com/product-detail/chip-resistor-surface-mount_yageo-rc0402fr-070rl_C106231.html" TargetMode="External"/><Relationship Id="rId69" Type="http://schemas.openxmlformats.org/officeDocument/2006/relationships/hyperlink" Target="https://www.lcsc.com/product-detail/chip-resistor-surface-mount_yageo-rt0603brd07511kl_C861454.html" TargetMode="External"/><Relationship Id="rId113" Type="http://schemas.openxmlformats.org/officeDocument/2006/relationships/hyperlink" Target="https://www.lcsc.com/product-detail/touch-screen-controllers_shenzhen-nsiway-tech-ns2009_C219024.html" TargetMode="External"/><Relationship Id="rId118" Type="http://schemas.openxmlformats.org/officeDocument/2006/relationships/hyperlink" Target="https://www.lcsc.com/product-detail/crystals_citizen-cm315d32768dzft_C182057.html" TargetMode="External"/><Relationship Id="rId80" Type="http://schemas.openxmlformats.org/officeDocument/2006/relationships/hyperlink" Target="https://www.lcsc.com/product-detail/chip-resistor-surface-mount_yageo-rt0603brd0773k2l_C861548.html" TargetMode="External"/><Relationship Id="rId85" Type="http://schemas.openxmlformats.org/officeDocument/2006/relationships/hyperlink" Target="https://www.lcsc.com/product-detail/chip-resistor-surface-mount_yageo-rc0603fr-0751kl_C107231.html" TargetMode="External"/><Relationship Id="rId12" Type="http://schemas.openxmlformats.org/officeDocument/2006/relationships/hyperlink" Target="https://www.lcsc.com/product-detail/multilayer-ceramic-capacitors-mlcc-smd-smt_murata-electronics-gcj188r71h473ka12d_C354386.html" TargetMode="External"/><Relationship Id="rId17" Type="http://schemas.openxmlformats.org/officeDocument/2006/relationships/hyperlink" Target="https://www.lcsc.com/product-detail/multilayer-ceramic-capacitors-mlcc-smd-smt_murata-electronics-gcm1885c1h332fa16d_C3877267.html" TargetMode="External"/><Relationship Id="rId33" Type="http://schemas.openxmlformats.org/officeDocument/2006/relationships/hyperlink" Target="https://www.lcsc.com/product-detail/ffc-fpc-flat-flexible-connector-assemblies_hanxia-hx0-5-10p-xjh2-0-043_C5691101.html" TargetMode="External"/><Relationship Id="rId38" Type="http://schemas.openxmlformats.org/officeDocument/2006/relationships/hyperlink" Target="https://www.lcsc.com/product-detail/wire-to-board-connector_jst-b8b-xh-a-lf-sn_C157972.html" TargetMode="External"/><Relationship Id="rId59" Type="http://schemas.openxmlformats.org/officeDocument/2006/relationships/hyperlink" Target="https://www.lcsc.com/product-detail/chip-resistor-surface-mount_yageo-rt0402brd0710kl_C190095.html" TargetMode="External"/><Relationship Id="rId103" Type="http://schemas.openxmlformats.org/officeDocument/2006/relationships/hyperlink" Target="https://www.lcsc.com/product-detail/microcontrollers-mcu-mpu-soc_allwinner-tech-v3s_C2687449.html" TargetMode="External"/><Relationship Id="rId108" Type="http://schemas.openxmlformats.org/officeDocument/2006/relationships/hyperlink" Target="https://www.lcsc.com/product-detail/dc-dc-converters_texas-instruments-tps65261rhbr_C138722.html" TargetMode="External"/><Relationship Id="rId124" Type="http://schemas.openxmlformats.org/officeDocument/2006/relationships/hyperlink" Target="https://www.lcsc.com/product-detail/usb-hub-controllers_texas-instruments-tusb4020biphpr_C2864320.html" TargetMode="External"/><Relationship Id="rId129" Type="http://schemas.openxmlformats.org/officeDocument/2006/relationships/hyperlink" Target="https://www.lcsc.com/product-detail/Chip-Resistor-Surface-Mount_YAGEO-RC0603FR-0722RL_C107701.html?s_z=n_C107701" TargetMode="External"/><Relationship Id="rId54" Type="http://schemas.openxmlformats.org/officeDocument/2006/relationships/hyperlink" Target="https://www.lcsc.com/product-detail/chip-resistor-surface-mount_yageo-rc0402fr-0710kl_C60490.html" TargetMode="External"/><Relationship Id="rId70" Type="http://schemas.openxmlformats.org/officeDocument/2006/relationships/hyperlink" Target="https://www.lcsc.com/product-detail/chip-resistor-surface-mount_yageo-rc0603fr-0749r9l_C114625.html" TargetMode="External"/><Relationship Id="rId75" Type="http://schemas.openxmlformats.org/officeDocument/2006/relationships/hyperlink" Target="https://www.lcsc.com/product-detail/chip-resistor-surface-mount_yageo-rc0603fr-0720kl_C105575.html" TargetMode="External"/><Relationship Id="rId91" Type="http://schemas.openxmlformats.org/officeDocument/2006/relationships/hyperlink" Target="https://www.lcsc.com/product-detail/chip-resistor-surface-mount_yageo-rc0603fr-070rl_C100044.html" TargetMode="External"/><Relationship Id="rId96" Type="http://schemas.openxmlformats.org/officeDocument/2006/relationships/hyperlink" Target="https://www.lcsc.com/product-detail/chip-resistor-surface-mount_yageo-rc0603fr-071kl_C22548.html" TargetMode="External"/><Relationship Id="rId1" Type="http://schemas.openxmlformats.org/officeDocument/2006/relationships/hyperlink" Target="https://www.lcsc.com/product-detail/multilayer-ceramic-capacitors-mlcc-smd-smt_murata-electronics-gjm1555c1h150fb01d_C441742.html" TargetMode="External"/><Relationship Id="rId6" Type="http://schemas.openxmlformats.org/officeDocument/2006/relationships/hyperlink" Target="https://www.lcsc.com/product-detail/multilayer-ceramic-capacitors-mlcc-smd-smt_murata-electronics-gcm1885c2a120ja16d_C701298.html" TargetMode="External"/><Relationship Id="rId23" Type="http://schemas.openxmlformats.org/officeDocument/2006/relationships/hyperlink" Target="https://www.lcsc.com/product-detail/multilayer-ceramic-capacitors-mlcc-smd-smt_murata-electronics-gcm1885c2a330ja16d_C126578.html" TargetMode="External"/><Relationship Id="rId28" Type="http://schemas.openxmlformats.org/officeDocument/2006/relationships/hyperlink" Target="https://www.lcsc.com/product-detail/multilayer-ceramic-capacitors-mlcc-smd-smt_yageo-cc0402mrx5r6bb106_C962143.html" TargetMode="External"/><Relationship Id="rId49" Type="http://schemas.openxmlformats.org/officeDocument/2006/relationships/hyperlink" Target="https://www.lcsc.com/product-detail/bipolar-bjt_diodes-incorporated-mmbt2222a-7-f_C94515.html" TargetMode="External"/><Relationship Id="rId114" Type="http://schemas.openxmlformats.org/officeDocument/2006/relationships/hyperlink" Target="https://www.lcsc.com/product-detail/led-drivers_texas-instruments-tps61158drvr_C702280.html" TargetMode="External"/><Relationship Id="rId119" Type="http://schemas.openxmlformats.org/officeDocument/2006/relationships/hyperlink" Target="https://www.lcsc.com/product-detail/crystals_yxc-crystal-oscillators-x503224msb4si_C112587.html" TargetMode="External"/><Relationship Id="rId44" Type="http://schemas.openxmlformats.org/officeDocument/2006/relationships/hyperlink" Target="https://www.lcsc.com/product-detail/led-indication-discrete_foshan-nationstar-optoelectronics-ncd0603r3_C3151730.html" TargetMode="External"/><Relationship Id="rId60" Type="http://schemas.openxmlformats.org/officeDocument/2006/relationships/hyperlink" Target="https://www.lcsc.com/product-detail/chip-resistor-surface-mount_yageo-rt0402brd07100kl_C852472.html" TargetMode="External"/><Relationship Id="rId65" Type="http://schemas.openxmlformats.org/officeDocument/2006/relationships/hyperlink" Target="https://www.lcsc.com/product-detail/chip-resistor-surface-mount_yageo-rc0402fr-072kl_C60488.html" TargetMode="External"/><Relationship Id="rId81" Type="http://schemas.openxmlformats.org/officeDocument/2006/relationships/hyperlink" Target="https://www.lcsc.com/product-detail/chip-resistor-surface-mount_yageo-rc0603fr-0737k4l_C163425.html" TargetMode="External"/><Relationship Id="rId86" Type="http://schemas.openxmlformats.org/officeDocument/2006/relationships/hyperlink" Target="https://www.lcsc.com/product-detail/chip-resistor-surface-mount_yageo-rc0603fr-07680rl_C112310.html" TargetMode="External"/><Relationship Id="rId130" Type="http://schemas.openxmlformats.org/officeDocument/2006/relationships/hyperlink" Target="https://www.chipsmall.com/Products/EC21EFA-512-STD_30856077.html" TargetMode="External"/><Relationship Id="rId13" Type="http://schemas.openxmlformats.org/officeDocument/2006/relationships/hyperlink" Target="https://www.lcsc.com/product-detail/multilayer-ceramic-capacitors-mlcc-smd-smt_yageo-cc0603jrnpo9bn820_C107056.html" TargetMode="External"/><Relationship Id="rId18" Type="http://schemas.openxmlformats.org/officeDocument/2006/relationships/hyperlink" Target="https://www.lcsc.com/product-detail/multilayer-ceramic-capacitors-mlcc-smd-smt_yageo-cc0603krx7r9bb105_C559769.html" TargetMode="External"/><Relationship Id="rId39" Type="http://schemas.openxmlformats.org/officeDocument/2006/relationships/hyperlink" Target="https://www.lcsc.com/product-detail/power-inductors_panasonic-etqp3m6r8kvn_C412310.html" TargetMode="External"/><Relationship Id="rId109" Type="http://schemas.openxmlformats.org/officeDocument/2006/relationships/hyperlink" Target="https://www.lcsc.com/product-detail/dc-dc-converters_texas-instruments-tps563202drlr_C1513007.html" TargetMode="External"/><Relationship Id="rId34" Type="http://schemas.openxmlformats.org/officeDocument/2006/relationships/hyperlink" Target="https://www.lcsc.com/product-detail/usb-connectors_korean-hroparts-elec-u-d-m5dd-y-3_C707313.html" TargetMode="External"/><Relationship Id="rId50" Type="http://schemas.openxmlformats.org/officeDocument/2006/relationships/hyperlink" Target="https://www.lcsc.com/product-detail/digital-transistors_rohm-semicon-dtc143zetl_C111728.html" TargetMode="External"/><Relationship Id="rId55" Type="http://schemas.openxmlformats.org/officeDocument/2006/relationships/hyperlink" Target="https://www.lcsc.com/product-detail/chip-resistor-surface-mount_yageo-rt0402bre0711kl_C705643.html" TargetMode="External"/><Relationship Id="rId76" Type="http://schemas.openxmlformats.org/officeDocument/2006/relationships/hyperlink" Target="https://www.lcsc.com/product-detail/chip-resistor-surface-mount_yageo-rc0603fr-07100kl_C14675.html" TargetMode="External"/><Relationship Id="rId97" Type="http://schemas.openxmlformats.org/officeDocument/2006/relationships/hyperlink" Target="https://www.lcsc.com/product-detail/chip-resistor-surface-mount_yageo-rc0603fr-074k7l_C99782.html" TargetMode="External"/><Relationship Id="rId104" Type="http://schemas.openxmlformats.org/officeDocument/2006/relationships/hyperlink" Target="https://www.lcsc.com/product-detail/nor-flash_winbond-elec-w25q128jveiq_C401662.html" TargetMode="External"/><Relationship Id="rId120" Type="http://schemas.openxmlformats.org/officeDocument/2006/relationships/hyperlink" Target="https://www.lcsc.com/product-detail/rf-cables_bat-wireless-bwipx1-sma-1-13l200_C784405.html" TargetMode="External"/><Relationship Id="rId125" Type="http://schemas.openxmlformats.org/officeDocument/2006/relationships/hyperlink" Target="https://item.szlcsc.com/238113.html?lcsc_vid=FlVYXwcDR1MKBlxfEgcLUgVXRgUMAlIDQFMNV1RfTlkxVlNSR1ZaU1NVR1JZUzsOAxUeFF5JWBYZEEoBGA4JCwFIFA4DSA%3D%3D" TargetMode="External"/><Relationship Id="rId7" Type="http://schemas.openxmlformats.org/officeDocument/2006/relationships/hyperlink" Target="https://www.lcsc.com/product-detail/multilayer-ceramic-capacitors-mlcc-smd-smt_samsung-electro-mechanics-cl05a475mo5nunc_C318563.html" TargetMode="External"/><Relationship Id="rId71" Type="http://schemas.openxmlformats.org/officeDocument/2006/relationships/hyperlink" Target="https://www.lcsc.com/product-detail/chip-resistor-surface-mount_yageo-rt0603brd0788k7l_C728599.html" TargetMode="External"/><Relationship Id="rId92" Type="http://schemas.openxmlformats.org/officeDocument/2006/relationships/hyperlink" Target="https://www.lcsc.com/product-detail/chip-resistor-surface-mount_yageo-rc0603fr-0790k9l_C185305.html" TargetMode="External"/><Relationship Id="rId2" Type="http://schemas.openxmlformats.org/officeDocument/2006/relationships/hyperlink" Target="https://www.lcsc.com/product-detail/multilayer-ceramic-capacitors-mlcc-smd-smt_murata-electronics-grm155r70j105ka12j_C2167130.html" TargetMode="External"/><Relationship Id="rId29" Type="http://schemas.openxmlformats.org/officeDocument/2006/relationships/hyperlink" Target="https://www.lcsc.com/product-detail/multilayer-ceramic-capacitors-mlcc-smd-smt_murata-electronics-grm1555c1e330ja01d_C441758.html" TargetMode="External"/><Relationship Id="rId24" Type="http://schemas.openxmlformats.org/officeDocument/2006/relationships/hyperlink" Target="https://www.lcsc.com/product-detail/multilayer-ceramic-capacitors-mlcc-smd-smt_yageo-cc0603jrnpo9bn100_C106245.html" TargetMode="External"/><Relationship Id="rId40" Type="http://schemas.openxmlformats.org/officeDocument/2006/relationships/hyperlink" Target="https://www.lcsc.com/product-detail/power-inductors_sxn-shun-xiang-nuo-elec-smnr4030-4r7mt_C135270.html" TargetMode="External"/><Relationship Id="rId45" Type="http://schemas.openxmlformats.org/officeDocument/2006/relationships/hyperlink" Target="https://www.lcsc.com/product-detail/led-indication-discrete_everlight-elec-333-2sygd-s530-e2-l_C99697.html" TargetMode="External"/><Relationship Id="rId66" Type="http://schemas.openxmlformats.org/officeDocument/2006/relationships/hyperlink" Target="https://www.lcsc.com/product-detail/chip-resistor-surface-mount_yageo-rc0402fr-07240rl_C114755.html" TargetMode="External"/><Relationship Id="rId87" Type="http://schemas.openxmlformats.org/officeDocument/2006/relationships/hyperlink" Target="https://www.lcsc.com/product-detail/chip-resistor-surface-mount_yageo-rc0603fr-07820rl_C114638.html" TargetMode="External"/><Relationship Id="rId110" Type="http://schemas.openxmlformats.org/officeDocument/2006/relationships/hyperlink" Target="https://www.lcsc.com/product-detail/voltage-regulators-linear-low-drop-out-ldo-regulators_texas-instruments-tps74801rgwr_C129193.html" TargetMode="External"/><Relationship Id="rId115" Type="http://schemas.openxmlformats.org/officeDocument/2006/relationships/hyperlink" Target="https://www.lcsc.com/product-detail/sd-card-memory-card-connector_molex-5027740891_C330255.html" TargetMode="External"/><Relationship Id="rId131" Type="http://schemas.openxmlformats.org/officeDocument/2006/relationships/hyperlink" Target="https://www.lcsc.com/product-detail/ESD-and-Surge-Protection-TVS-ESD_MDD-Microdiode-Semiconductor-ESD5Z3-3C_C502551.html?s_z=n_C502551" TargetMode="External"/><Relationship Id="rId61" Type="http://schemas.openxmlformats.org/officeDocument/2006/relationships/hyperlink" Target="https://www.lcsc.com/product-detail/chip-resistor-surface-mount_yageo-rc0402fr-071kl_C106235.html" TargetMode="External"/><Relationship Id="rId82" Type="http://schemas.openxmlformats.org/officeDocument/2006/relationships/hyperlink" Target="https://www.lcsc.com/product-detail/chip-resistor-surface-mount_yageo-rc0402fr-071k87l_C138037.html" TargetMode="External"/><Relationship Id="rId19" Type="http://schemas.openxmlformats.org/officeDocument/2006/relationships/hyperlink" Target="https://www.lcsc.com/product-detail/multilayer-ceramic-capacitors-mlcc-smd-smt_murata-electronics-grm1885c1h222ja01d_C77033.html" TargetMode="External"/><Relationship Id="rId14" Type="http://schemas.openxmlformats.org/officeDocument/2006/relationships/hyperlink" Target="https://www.lcsc.com/product-detail/multilayer-ceramic-capacitors-mlcc-smd-smt_murata-electronics-gcj188r71h333ka12d_C2173059.html" TargetMode="External"/><Relationship Id="rId30" Type="http://schemas.openxmlformats.org/officeDocument/2006/relationships/hyperlink" Target="https://www.lcsc.com/product-detail/switching-diodes_onsemi-1n4148wt_C232841.html" TargetMode="External"/><Relationship Id="rId35" Type="http://schemas.openxmlformats.org/officeDocument/2006/relationships/hyperlink" Target="https://www.lcsc.com/product-detail/ffc-fpc-flat-flexible-connector-assemblies_hrs-hirose-fh34srj-40s-0-5sh-50_C506798.html" TargetMode="External"/><Relationship Id="rId56" Type="http://schemas.openxmlformats.org/officeDocument/2006/relationships/hyperlink" Target="https://www.lcsc.com/product-detail/chip-resistor-surface-mount_yageo-rc0603fr-07120rl_C114640.html" TargetMode="External"/><Relationship Id="rId77" Type="http://schemas.openxmlformats.org/officeDocument/2006/relationships/hyperlink" Target="https://www.lcsc.com/product-detail/chip-resistor-surface-mount_yageo-rc0603fr-0745k3l_C245971.html" TargetMode="External"/><Relationship Id="rId100" Type="http://schemas.openxmlformats.org/officeDocument/2006/relationships/hyperlink" Target="https://www.lcsc.com/product-detail/tactile-switch-push-button-switch_te-connectivity-fsm6jsmatr_C6558197.html" TargetMode="External"/><Relationship Id="rId105" Type="http://schemas.openxmlformats.org/officeDocument/2006/relationships/hyperlink" Target="https://www.lcsc.com/product-detail/real-time-clocks_nxp-semicon-pcf8563t-5-518_C7440.html" TargetMode="External"/><Relationship Id="rId126" Type="http://schemas.openxmlformats.org/officeDocument/2006/relationships/hyperlink" Target="https://www.lcsc.com/product-detail/LED-Indication-Discrete_TONYU-DY-333SDRD-SN-A3-EL-HF_C7470717.html?s_z=n_C7470717" TargetMode="External"/><Relationship Id="rId8" Type="http://schemas.openxmlformats.org/officeDocument/2006/relationships/hyperlink" Target="https://www.lcsc.com/product-detail/multilayer-ceramic-capacitors-mlcc-smd-smt_murata-electronics-grm1555c1h102ja01d_C76947.html" TargetMode="External"/><Relationship Id="rId51" Type="http://schemas.openxmlformats.org/officeDocument/2006/relationships/hyperlink" Target="https://www.lcsc.com/product-detail/chip-resistor-surface-mount_yageo-rc0402fr-0747kl_C93943.html" TargetMode="External"/><Relationship Id="rId72" Type="http://schemas.openxmlformats.org/officeDocument/2006/relationships/hyperlink" Target="https://www.lcsc.com/product-detail/chip-resistor-surface-mount_yageo-rt0603bre0710k2l_C705802.html" TargetMode="External"/><Relationship Id="rId93" Type="http://schemas.openxmlformats.org/officeDocument/2006/relationships/hyperlink" Target="https://www.lcsc.com/product-detail/chip-resistor-surface-mount_yageo-rc0603fr-071ml_C105578.html" TargetMode="External"/><Relationship Id="rId98" Type="http://schemas.openxmlformats.org/officeDocument/2006/relationships/hyperlink" Target="https://www.lcsc.com/product-detail/chip-resistor-surface-mount_yageo-rc0603fr-0710rl_C109318.html" TargetMode="External"/><Relationship Id="rId121" Type="http://schemas.openxmlformats.org/officeDocument/2006/relationships/hyperlink" Target="https://www.lcsc.com/product-detail/storage-products_mk-mkus008g-igt1a_C41367990.html" TargetMode="External"/><Relationship Id="rId3" Type="http://schemas.openxmlformats.org/officeDocument/2006/relationships/hyperlink" Target="https://www.lcsc.com/product-detail/multilayer-ceramic-capacitors-mlcc-smd-smt_murata-electronics-grm188z71a106ka73d_C2959727.html" TargetMode="External"/><Relationship Id="rId25" Type="http://schemas.openxmlformats.org/officeDocument/2006/relationships/hyperlink" Target="https://www.lcsc.com/product-detail/multilayer-ceramic-capacitors-mlcc-smd-smt_yageo-cc0603jrnpo9bn300_C113797.html" TargetMode="External"/><Relationship Id="rId46" Type="http://schemas.openxmlformats.org/officeDocument/2006/relationships/hyperlink" Target="https://www.lcsc.com/product-detail/led-indication-discrete_everlight-elec-333-2uyd-s530-a3-l_C88602.html" TargetMode="External"/><Relationship Id="rId67" Type="http://schemas.openxmlformats.org/officeDocument/2006/relationships/hyperlink" Target="https://www.lcsc.com/product-detail/chip-resistor-surface-mount_yageo-rc0402fr-07200kl_C114763.html" TargetMode="External"/><Relationship Id="rId116" Type="http://schemas.openxmlformats.org/officeDocument/2006/relationships/hyperlink" Target="https://www.lcsc.com/product-detail/translators-level-shifters_texas-instruments-txs0108epwr_C17206.html" TargetMode="External"/><Relationship Id="rId20" Type="http://schemas.openxmlformats.org/officeDocument/2006/relationships/hyperlink" Target="https://www.lcsc.com/product-detail/multilayer-ceramic-capacitors-mlcc-smd-smt_murata-electronics-grm1885c1h103ja01d_C85973.html" TargetMode="External"/><Relationship Id="rId41" Type="http://schemas.openxmlformats.org/officeDocument/2006/relationships/hyperlink" Target="https://www.lcsc.com/product-detail/power-inductors_bourns-srn4018-4r7m_C780206.html" TargetMode="External"/><Relationship Id="rId62" Type="http://schemas.openxmlformats.org/officeDocument/2006/relationships/hyperlink" Target="https://www.lcsc.com/product-detail/chip-resistor-surface-mount_yageo-rc0402fr-074k7l_C105871.html" TargetMode="External"/><Relationship Id="rId83" Type="http://schemas.openxmlformats.org/officeDocument/2006/relationships/hyperlink" Target="https://www.lcsc.com/product-detail/chip-resistor-surface-mount_yageo-rc0402fr-074k99l_C137965.html" TargetMode="External"/><Relationship Id="rId88" Type="http://schemas.openxmlformats.org/officeDocument/2006/relationships/hyperlink" Target="https://www.lcsc.com/product-detail/chip-resistor-surface-mount_yageo-rc0603fr-07499rl_C137714.html" TargetMode="External"/><Relationship Id="rId111" Type="http://schemas.openxmlformats.org/officeDocument/2006/relationships/hyperlink" Target="https://www.lcsc.com/product-detail/voltage-regulators-linear-low-drop-out-ldo-regulators_torex-semicon-xc6206p302mr-g_C9972.html" TargetMode="External"/><Relationship Id="rId132" Type="http://schemas.openxmlformats.org/officeDocument/2006/relationships/hyperlink" Target="https://www.lcsc.com/product-detail/Chip-Resistor-Surface-Mount_YAGEO-RC0402JR-0710ML_C274900.html?s_z=n_C274900" TargetMode="External"/><Relationship Id="rId15" Type="http://schemas.openxmlformats.org/officeDocument/2006/relationships/hyperlink" Target="https://www.lcsc.com/product-detail/multilayer-ceramic-capacitors-mlcc-smd-smt_murata-electronics-grm21bz70j226me44l_C1517827.html" TargetMode="External"/><Relationship Id="rId36" Type="http://schemas.openxmlformats.org/officeDocument/2006/relationships/hyperlink" Target="https://www.lcsc.com/product-detail/coaxial-connectors-rf_hrs-hirose-u-fl-r-smt-10_C434808.html" TargetMode="External"/><Relationship Id="rId57" Type="http://schemas.openxmlformats.org/officeDocument/2006/relationships/hyperlink" Target="https://www.lcsc.com/product-detail/chip-resistor-surface-mount_yageo-rt0402brd078k2l_C852943.html" TargetMode="External"/><Relationship Id="rId106" Type="http://schemas.openxmlformats.org/officeDocument/2006/relationships/hyperlink" Target="https://www.lcsc.com/product-detail/usb-converters_wch-jiangsu-qin-heng-ch340c_C84681.html" TargetMode="External"/><Relationship Id="rId127" Type="http://schemas.openxmlformats.org/officeDocument/2006/relationships/hyperlink" Target="https://www.lcsc.com/product-detail/Chip-Resistor-Surface-Mount_YAGEO-RT0402BRE079K53L_C853448.html?s_z=n_C853448" TargetMode="External"/><Relationship Id="rId10" Type="http://schemas.openxmlformats.org/officeDocument/2006/relationships/hyperlink" Target="https://www.lcsc.com/product-detail/multilayer-ceramic-capacitors-mlcc-smd-smt_murata-electronics-grm32er71h106ka12l_C77102.html" TargetMode="External"/><Relationship Id="rId31" Type="http://schemas.openxmlformats.org/officeDocument/2006/relationships/hyperlink" Target="https://www.lcsc.com/product-detail/schottky-diodes_diodes-incorporated-1n5819hw-7-f_C82544.html" TargetMode="External"/><Relationship Id="rId52" Type="http://schemas.openxmlformats.org/officeDocument/2006/relationships/hyperlink" Target="https://www.lcsc.com/product-detail/chip-resistor-surface-mount_yageo-rc0402fr-073r3l_C137986.html" TargetMode="External"/><Relationship Id="rId73" Type="http://schemas.openxmlformats.org/officeDocument/2006/relationships/hyperlink" Target="https://www.lcsc.com/product-detail/chip-resistor-surface-mount_yageo-rt0603brd0753k6l_C861467.html" TargetMode="External"/><Relationship Id="rId78" Type="http://schemas.openxmlformats.org/officeDocument/2006/relationships/hyperlink" Target="https://www.lcsc.com/product-detail/chip-resistor-surface-mount_yageo-rc0603fr-0730kl_C100001.html" TargetMode="External"/><Relationship Id="rId94" Type="http://schemas.openxmlformats.org/officeDocument/2006/relationships/hyperlink" Target="https://www.lcsc.com/product-detail/chip-resistor-surface-mount_yageo-rc0603fr-071kl_C22548.html" TargetMode="External"/><Relationship Id="rId99" Type="http://schemas.openxmlformats.org/officeDocument/2006/relationships/hyperlink" Target="https://www.lcsc.com/product-detail/chip-resistor-surface-mount_yageo-rc0402fr-070rl_C106231.html" TargetMode="External"/><Relationship Id="rId101" Type="http://schemas.openxmlformats.org/officeDocument/2006/relationships/hyperlink" Target="https://www.lcsc.com/product-detail/tactile-switches_xunpu-ts-1088-ar02016_C720477.html" TargetMode="External"/><Relationship Id="rId122" Type="http://schemas.openxmlformats.org/officeDocument/2006/relationships/hyperlink" Target="https://www.lcsc.com/product-detail/ffc-cable-flexible-flat-cable_jushuo-js05a-40p-100-3-4_C5151968.html" TargetMode="External"/><Relationship Id="rId4" Type="http://schemas.openxmlformats.org/officeDocument/2006/relationships/hyperlink" Target="https://www.lcsc.com/product-detail/multilayer-ceramic-capacitors-mlcc-smd-smt_murata-electronics-grm155r71e104ke14d_C77014.html" TargetMode="External"/><Relationship Id="rId9" Type="http://schemas.openxmlformats.org/officeDocument/2006/relationships/hyperlink" Target="https://www.lcsc.com/product-detail/multilayer-ceramic-capacitors-mlcc-smd-smt_murata-electronics-gcm155r71h103ja55d_C5189696.html" TargetMode="External"/><Relationship Id="rId26" Type="http://schemas.openxmlformats.org/officeDocument/2006/relationships/hyperlink" Target="https://www.lcsc.com/product-detail/multilayer-ceramic-capacitors-mlcc-smd-smt_yageo-cc0402krx7r8bb102_C54137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50"/>
  <sheetViews>
    <sheetView topLeftCell="E130" workbookViewId="0">
      <selection activeCell="G143" sqref="G143"/>
    </sheetView>
  </sheetViews>
  <sheetFormatPr defaultRowHeight="1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8.425781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9.7109375" customWidth="1"/>
    <col min="16" max="16" width="19.7109375" bestFit="1" customWidth="1"/>
    <col min="17" max="17" width="20.28515625" bestFit="1" customWidth="1"/>
    <col min="18" max="18" width="16.5703125" bestFit="1" customWidth="1"/>
    <col min="20" max="20" width="10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>
      <c r="A2" s="1"/>
      <c r="B2" s="7"/>
      <c r="C2" s="13"/>
      <c r="D2" s="4" t="s">
        <v>0</v>
      </c>
      <c r="E2" s="4"/>
      <c r="F2" s="40" t="s">
        <v>665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666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30</v>
      </c>
      <c r="E7" s="12" t="s">
        <v>156</v>
      </c>
      <c r="F7" s="12" t="s">
        <v>279</v>
      </c>
      <c r="G7" s="12" t="s">
        <v>327</v>
      </c>
      <c r="H7" s="12" t="s">
        <v>434</v>
      </c>
      <c r="I7" s="12" t="s">
        <v>657</v>
      </c>
      <c r="J7" s="12" t="s">
        <v>470</v>
      </c>
      <c r="K7" s="12" t="s">
        <v>658</v>
      </c>
      <c r="L7" s="12" t="s">
        <v>656</v>
      </c>
      <c r="M7" s="12" t="s">
        <v>659</v>
      </c>
      <c r="N7" s="12" t="s">
        <v>660</v>
      </c>
      <c r="O7" s="12" t="s">
        <v>661</v>
      </c>
      <c r="P7" s="12" t="s">
        <v>662</v>
      </c>
      <c r="Q7" s="12" t="s">
        <v>663</v>
      </c>
      <c r="R7" s="12" t="s">
        <v>664</v>
      </c>
    </row>
    <row r="8" spans="1:18">
      <c r="A8" s="1"/>
      <c r="B8" s="16">
        <f>ROW(B8) - ROW($B$7)</f>
        <v>1</v>
      </c>
      <c r="C8" s="22" t="s">
        <v>6</v>
      </c>
      <c r="D8" s="14" t="s">
        <v>31</v>
      </c>
      <c r="E8" s="14" t="s">
        <v>157</v>
      </c>
      <c r="F8" s="14" t="s">
        <v>280</v>
      </c>
      <c r="G8" s="14" t="s">
        <v>328</v>
      </c>
      <c r="H8" s="14" t="s">
        <v>435</v>
      </c>
      <c r="I8" s="14" t="s">
        <v>672</v>
      </c>
      <c r="J8" s="14" t="s">
        <v>471</v>
      </c>
      <c r="K8" s="14" t="s">
        <v>587</v>
      </c>
      <c r="L8" s="14">
        <v>4</v>
      </c>
      <c r="M8" s="14">
        <f>L8*10</f>
        <v>40</v>
      </c>
      <c r="N8" s="14">
        <v>60</v>
      </c>
      <c r="O8" s="54" t="s">
        <v>701</v>
      </c>
      <c r="P8" s="15" t="s">
        <v>697</v>
      </c>
      <c r="Q8" s="15">
        <f>P8*N8</f>
        <v>1.26</v>
      </c>
      <c r="R8" s="14"/>
    </row>
    <row r="9" spans="1:18" ht="24">
      <c r="A9" s="1"/>
      <c r="B9" s="17">
        <f t="shared" ref="B9:B136" si="0">ROW(B9) - ROW($B$7)</f>
        <v>2</v>
      </c>
      <c r="C9" s="23" t="s">
        <v>6</v>
      </c>
      <c r="D9" s="20" t="s">
        <v>32</v>
      </c>
      <c r="E9" s="20" t="s">
        <v>158</v>
      </c>
      <c r="F9" s="20" t="s">
        <v>280</v>
      </c>
      <c r="G9" s="20" t="s">
        <v>329</v>
      </c>
      <c r="H9" s="20" t="s">
        <v>435</v>
      </c>
      <c r="I9" s="14" t="s">
        <v>672</v>
      </c>
      <c r="J9" s="20" t="s">
        <v>472</v>
      </c>
      <c r="K9" s="20" t="s">
        <v>588</v>
      </c>
      <c r="L9" s="20">
        <v>10</v>
      </c>
      <c r="M9" s="14">
        <f t="shared" ref="M9:M69" si="1">L9*10</f>
        <v>100</v>
      </c>
      <c r="N9" s="20">
        <v>102</v>
      </c>
      <c r="O9" s="54" t="s">
        <v>701</v>
      </c>
      <c r="P9" s="21" t="s">
        <v>698</v>
      </c>
      <c r="Q9" s="21">
        <f t="shared" ref="Q9" si="2">P9*N9</f>
        <v>1.9481999999999999</v>
      </c>
      <c r="R9" s="20"/>
    </row>
    <row r="10" spans="1:18" ht="24">
      <c r="A10" s="1"/>
      <c r="B10" s="16">
        <f>ROW(B10) - ROW($B$7)</f>
        <v>3</v>
      </c>
      <c r="C10" s="22" t="s">
        <v>7</v>
      </c>
      <c r="D10" s="14" t="s">
        <v>667</v>
      </c>
      <c r="E10" s="14" t="s">
        <v>159</v>
      </c>
      <c r="F10" s="14" t="s">
        <v>281</v>
      </c>
      <c r="G10" s="14" t="s">
        <v>330</v>
      </c>
      <c r="H10" s="14" t="s">
        <v>435</v>
      </c>
      <c r="I10" s="14" t="s">
        <v>672</v>
      </c>
      <c r="J10" s="14" t="s">
        <v>473</v>
      </c>
      <c r="K10" s="14" t="s">
        <v>589</v>
      </c>
      <c r="L10" s="14">
        <v>12</v>
      </c>
      <c r="M10" s="14">
        <f t="shared" si="1"/>
        <v>120</v>
      </c>
      <c r="N10" s="14">
        <v>130</v>
      </c>
      <c r="O10" s="54" t="s">
        <v>701</v>
      </c>
      <c r="P10" s="15" t="s">
        <v>699</v>
      </c>
      <c r="Q10" s="15">
        <f>P10*N10</f>
        <v>6.149</v>
      </c>
      <c r="R10" s="14"/>
    </row>
    <row r="11" spans="1:18" ht="60">
      <c r="A11" s="1"/>
      <c r="B11" s="17">
        <f t="shared" si="0"/>
        <v>4</v>
      </c>
      <c r="C11" s="23" t="s">
        <v>6</v>
      </c>
      <c r="D11" s="20" t="s">
        <v>668</v>
      </c>
      <c r="E11" s="20" t="s">
        <v>160</v>
      </c>
      <c r="F11" s="20" t="s">
        <v>280</v>
      </c>
      <c r="G11" s="20" t="s">
        <v>331</v>
      </c>
      <c r="H11" s="20" t="s">
        <v>435</v>
      </c>
      <c r="I11" s="14" t="s">
        <v>672</v>
      </c>
      <c r="J11" s="20" t="s">
        <v>474</v>
      </c>
      <c r="K11" s="20" t="s">
        <v>590</v>
      </c>
      <c r="L11" s="20">
        <v>30</v>
      </c>
      <c r="M11" s="14">
        <f t="shared" si="1"/>
        <v>300</v>
      </c>
      <c r="N11" s="20">
        <v>400</v>
      </c>
      <c r="O11" s="54" t="s">
        <v>701</v>
      </c>
      <c r="P11" s="21" t="s">
        <v>700</v>
      </c>
      <c r="Q11" s="21">
        <f t="shared" ref="Q11" si="3">P11*N11</f>
        <v>1.2</v>
      </c>
      <c r="R11" s="20"/>
    </row>
    <row r="12" spans="1:18">
      <c r="A12" s="1"/>
      <c r="B12" s="16">
        <f>ROW(B12) - ROW($B$7)</f>
        <v>5</v>
      </c>
      <c r="C12" s="22" t="s">
        <v>8</v>
      </c>
      <c r="D12" s="14" t="s">
        <v>33</v>
      </c>
      <c r="E12" s="14" t="s">
        <v>161</v>
      </c>
      <c r="F12" s="14" t="s">
        <v>674</v>
      </c>
      <c r="G12" s="14" t="s">
        <v>282</v>
      </c>
      <c r="H12" s="14" t="s">
        <v>436</v>
      </c>
      <c r="I12" s="14" t="s">
        <v>672</v>
      </c>
      <c r="J12" s="14" t="s">
        <v>475</v>
      </c>
      <c r="K12" s="14" t="s">
        <v>591</v>
      </c>
      <c r="L12" s="14">
        <v>1</v>
      </c>
      <c r="M12" s="14">
        <f t="shared" si="1"/>
        <v>10</v>
      </c>
      <c r="N12" s="14">
        <v>11</v>
      </c>
      <c r="O12" s="54" t="s">
        <v>793</v>
      </c>
      <c r="P12" s="15">
        <v>0.48</v>
      </c>
      <c r="Q12" s="15">
        <f>P12*N12</f>
        <v>5.2799999999999994</v>
      </c>
      <c r="R12" s="14"/>
    </row>
    <row r="13" spans="1:18" ht="24">
      <c r="A13" s="1"/>
      <c r="B13" s="17">
        <f t="shared" si="0"/>
        <v>6</v>
      </c>
      <c r="C13" s="23" t="s">
        <v>6</v>
      </c>
      <c r="D13" s="20" t="s">
        <v>34</v>
      </c>
      <c r="E13" s="20" t="s">
        <v>162</v>
      </c>
      <c r="F13" s="20" t="s">
        <v>281</v>
      </c>
      <c r="G13" s="20" t="s">
        <v>332</v>
      </c>
      <c r="H13" s="20" t="s">
        <v>435</v>
      </c>
      <c r="I13" s="14" t="s">
        <v>672</v>
      </c>
      <c r="J13" s="20" t="s">
        <v>476</v>
      </c>
      <c r="K13" s="20" t="s">
        <v>590</v>
      </c>
      <c r="L13" s="20">
        <v>12</v>
      </c>
      <c r="M13" s="14">
        <f t="shared" si="1"/>
        <v>120</v>
      </c>
      <c r="N13" s="20" t="s">
        <v>785</v>
      </c>
      <c r="O13" s="54" t="s">
        <v>701</v>
      </c>
      <c r="P13" s="21" t="s">
        <v>702</v>
      </c>
      <c r="Q13" s="21">
        <f t="shared" ref="Q13" si="4">P13*N13</f>
        <v>3.7199999999999998</v>
      </c>
      <c r="R13" s="20"/>
    </row>
    <row r="14" spans="1:18">
      <c r="A14" s="1"/>
      <c r="B14" s="16">
        <f>ROW(B14) - ROW($B$7)</f>
        <v>7</v>
      </c>
      <c r="C14" s="22" t="s">
        <v>7</v>
      </c>
      <c r="D14" s="14" t="s">
        <v>35</v>
      </c>
      <c r="E14" s="14" t="s">
        <v>163</v>
      </c>
      <c r="F14" s="14" t="s">
        <v>281</v>
      </c>
      <c r="G14" s="14" t="s">
        <v>333</v>
      </c>
      <c r="H14" s="14" t="s">
        <v>435</v>
      </c>
      <c r="I14" s="14" t="s">
        <v>672</v>
      </c>
      <c r="J14" s="14" t="s">
        <v>477</v>
      </c>
      <c r="K14" s="14" t="s">
        <v>592</v>
      </c>
      <c r="L14" s="14">
        <v>1</v>
      </c>
      <c r="M14" s="14">
        <f t="shared" si="1"/>
        <v>10</v>
      </c>
      <c r="N14" s="14" t="s">
        <v>786</v>
      </c>
      <c r="O14" s="54" t="s">
        <v>701</v>
      </c>
      <c r="P14" s="15" t="s">
        <v>703</v>
      </c>
      <c r="Q14" s="15">
        <f>P14*N14</f>
        <v>0.86</v>
      </c>
      <c r="R14" s="14"/>
    </row>
    <row r="15" spans="1:18">
      <c r="A15" s="1"/>
      <c r="B15" s="17">
        <f t="shared" si="0"/>
        <v>8</v>
      </c>
      <c r="C15" s="22" t="s">
        <v>7</v>
      </c>
      <c r="D15" s="20" t="s">
        <v>36</v>
      </c>
      <c r="E15" s="20" t="s">
        <v>164</v>
      </c>
      <c r="F15" s="20" t="s">
        <v>280</v>
      </c>
      <c r="G15" s="20" t="s">
        <v>334</v>
      </c>
      <c r="H15" s="20" t="s">
        <v>437</v>
      </c>
      <c r="I15" s="14" t="s">
        <v>672</v>
      </c>
      <c r="J15" s="20" t="s">
        <v>689</v>
      </c>
      <c r="K15" s="20" t="s">
        <v>593</v>
      </c>
      <c r="L15" s="20">
        <v>2</v>
      </c>
      <c r="M15" s="14">
        <f t="shared" si="1"/>
        <v>20</v>
      </c>
      <c r="N15" s="20" t="s">
        <v>786</v>
      </c>
      <c r="O15" s="54" t="s">
        <v>701</v>
      </c>
      <c r="P15" s="21" t="s">
        <v>704</v>
      </c>
      <c r="Q15" s="21">
        <f t="shared" ref="Q15" si="5">P15*N15</f>
        <v>0.64</v>
      </c>
      <c r="R15" s="20"/>
    </row>
    <row r="16" spans="1:18">
      <c r="A16" s="1"/>
      <c r="B16" s="16">
        <f>ROW(B16) - ROW($B$7)</f>
        <v>9</v>
      </c>
      <c r="C16" s="22" t="s">
        <v>7</v>
      </c>
      <c r="D16" s="14" t="s">
        <v>37</v>
      </c>
      <c r="E16" s="14" t="s">
        <v>165</v>
      </c>
      <c r="F16" s="14" t="s">
        <v>280</v>
      </c>
      <c r="G16" s="14" t="s">
        <v>335</v>
      </c>
      <c r="H16" s="14" t="s">
        <v>435</v>
      </c>
      <c r="I16" s="14" t="s">
        <v>672</v>
      </c>
      <c r="J16" s="14" t="s">
        <v>478</v>
      </c>
      <c r="K16" s="14" t="s">
        <v>594</v>
      </c>
      <c r="L16" s="14">
        <v>1</v>
      </c>
      <c r="M16" s="14">
        <f t="shared" si="1"/>
        <v>10</v>
      </c>
      <c r="N16" s="14" t="s">
        <v>784</v>
      </c>
      <c r="O16" s="54" t="s">
        <v>701</v>
      </c>
      <c r="P16" s="15" t="s">
        <v>705</v>
      </c>
      <c r="Q16" s="15">
        <f>P16*N16</f>
        <v>0.47000000000000003</v>
      </c>
      <c r="R16" s="14"/>
    </row>
    <row r="17" spans="1:18" ht="24">
      <c r="A17" s="1"/>
      <c r="B17" s="17">
        <f t="shared" si="0"/>
        <v>10</v>
      </c>
      <c r="C17" s="23" t="s">
        <v>7</v>
      </c>
      <c r="D17" s="20" t="s">
        <v>38</v>
      </c>
      <c r="E17" s="20" t="s">
        <v>166</v>
      </c>
      <c r="F17" s="20" t="s">
        <v>280</v>
      </c>
      <c r="G17" s="20" t="s">
        <v>336</v>
      </c>
      <c r="H17" s="20" t="s">
        <v>435</v>
      </c>
      <c r="I17" s="14" t="s">
        <v>672</v>
      </c>
      <c r="J17" s="20" t="s">
        <v>479</v>
      </c>
      <c r="K17" s="20" t="s">
        <v>595</v>
      </c>
      <c r="L17" s="20">
        <v>9</v>
      </c>
      <c r="M17" s="14">
        <f t="shared" si="1"/>
        <v>90</v>
      </c>
      <c r="N17" s="20" t="s">
        <v>784</v>
      </c>
      <c r="O17" s="54" t="s">
        <v>701</v>
      </c>
      <c r="P17" s="21" t="s">
        <v>706</v>
      </c>
      <c r="Q17" s="21">
        <f t="shared" ref="Q17" si="6">P17*N17</f>
        <v>0.96</v>
      </c>
      <c r="R17" s="20"/>
    </row>
    <row r="18" spans="1:18" ht="24">
      <c r="A18" s="1"/>
      <c r="B18" s="16">
        <f>ROW(B18) - ROW($B$7)</f>
        <v>11</v>
      </c>
      <c r="C18" s="22" t="s">
        <v>6</v>
      </c>
      <c r="D18" s="14" t="s">
        <v>39</v>
      </c>
      <c r="E18" s="14" t="s">
        <v>167</v>
      </c>
      <c r="F18" s="14" t="s">
        <v>283</v>
      </c>
      <c r="G18" s="14" t="s">
        <v>337</v>
      </c>
      <c r="H18" s="14" t="s">
        <v>435</v>
      </c>
      <c r="I18" s="14" t="s">
        <v>672</v>
      </c>
      <c r="J18" s="14" t="s">
        <v>480</v>
      </c>
      <c r="K18" s="14" t="s">
        <v>589</v>
      </c>
      <c r="L18" s="14">
        <v>9</v>
      </c>
      <c r="M18" s="14">
        <f t="shared" si="1"/>
        <v>90</v>
      </c>
      <c r="N18" s="14">
        <v>95</v>
      </c>
      <c r="O18" s="54" t="s">
        <v>701</v>
      </c>
      <c r="P18" s="15" t="s">
        <v>707</v>
      </c>
      <c r="Q18" s="15">
        <f>P18*N18</f>
        <v>14.9625</v>
      </c>
      <c r="R18" s="14"/>
    </row>
    <row r="19" spans="1:18">
      <c r="A19" s="1"/>
      <c r="B19" s="17">
        <f t="shared" si="0"/>
        <v>12</v>
      </c>
      <c r="C19" s="23" t="s">
        <v>7</v>
      </c>
      <c r="D19" s="20" t="s">
        <v>40</v>
      </c>
      <c r="E19" s="20" t="s">
        <v>168</v>
      </c>
      <c r="F19" s="20" t="s">
        <v>284</v>
      </c>
      <c r="G19" s="20" t="s">
        <v>338</v>
      </c>
      <c r="H19" s="20" t="s">
        <v>435</v>
      </c>
      <c r="I19" s="14" t="s">
        <v>672</v>
      </c>
      <c r="J19" s="20" t="s">
        <v>481</v>
      </c>
      <c r="K19" s="20" t="s">
        <v>596</v>
      </c>
      <c r="L19" s="20">
        <v>2</v>
      </c>
      <c r="M19" s="14">
        <f t="shared" si="1"/>
        <v>20</v>
      </c>
      <c r="N19" s="20">
        <v>25</v>
      </c>
      <c r="O19" s="54" t="s">
        <v>701</v>
      </c>
      <c r="P19" s="21" t="s">
        <v>708</v>
      </c>
      <c r="Q19" s="21">
        <f t="shared" ref="Q19" si="7">P19*N19</f>
        <v>2.2349999999999999</v>
      </c>
      <c r="R19" s="20"/>
    </row>
    <row r="20" spans="1:18">
      <c r="A20" s="1"/>
      <c r="B20" s="16">
        <f>ROW(B20) - ROW($B$7)</f>
        <v>13</v>
      </c>
      <c r="C20" s="22" t="s">
        <v>6</v>
      </c>
      <c r="D20" s="14" t="s">
        <v>41</v>
      </c>
      <c r="E20" s="14" t="s">
        <v>169</v>
      </c>
      <c r="F20" s="14" t="s">
        <v>281</v>
      </c>
      <c r="G20" s="14" t="s">
        <v>339</v>
      </c>
      <c r="H20" s="14" t="s">
        <v>435</v>
      </c>
      <c r="I20" s="14" t="s">
        <v>672</v>
      </c>
      <c r="J20" s="14" t="s">
        <v>482</v>
      </c>
      <c r="K20" s="14" t="s">
        <v>597</v>
      </c>
      <c r="L20" s="14">
        <v>3</v>
      </c>
      <c r="M20" s="14">
        <f t="shared" si="1"/>
        <v>30</v>
      </c>
      <c r="N20" s="14">
        <v>40</v>
      </c>
      <c r="O20" s="54" t="s">
        <v>701</v>
      </c>
      <c r="P20" s="15" t="s">
        <v>709</v>
      </c>
      <c r="Q20" s="15">
        <f>P20*N20</f>
        <v>1.6559999999999999</v>
      </c>
      <c r="R20" s="14"/>
    </row>
    <row r="21" spans="1:18">
      <c r="A21" s="1"/>
      <c r="B21" s="17">
        <f t="shared" si="0"/>
        <v>14</v>
      </c>
      <c r="C21" s="23" t="s">
        <v>6</v>
      </c>
      <c r="D21" s="20" t="s">
        <v>42</v>
      </c>
      <c r="E21" s="20" t="s">
        <v>170</v>
      </c>
      <c r="F21" s="20" t="s">
        <v>281</v>
      </c>
      <c r="G21" s="20" t="s">
        <v>340</v>
      </c>
      <c r="H21" s="20" t="s">
        <v>438</v>
      </c>
      <c r="I21" s="14" t="s">
        <v>672</v>
      </c>
      <c r="J21" s="20" t="s">
        <v>483</v>
      </c>
      <c r="K21" s="20" t="s">
        <v>598</v>
      </c>
      <c r="L21" s="20">
        <v>1</v>
      </c>
      <c r="M21" s="14">
        <f t="shared" si="1"/>
        <v>10</v>
      </c>
      <c r="N21" s="20" t="s">
        <v>784</v>
      </c>
      <c r="O21" s="54" t="s">
        <v>701</v>
      </c>
      <c r="P21" s="21" t="s">
        <v>700</v>
      </c>
      <c r="Q21" s="21">
        <f t="shared" ref="Q21" si="8">P21*N21</f>
        <v>0.3</v>
      </c>
      <c r="R21" s="20"/>
    </row>
    <row r="22" spans="1:18">
      <c r="A22" s="1"/>
      <c r="B22" s="16">
        <f>ROW(B22) - ROW($B$7)</f>
        <v>15</v>
      </c>
      <c r="C22" s="22" t="s">
        <v>6</v>
      </c>
      <c r="D22" s="14" t="s">
        <v>43</v>
      </c>
      <c r="E22" s="14" t="s">
        <v>171</v>
      </c>
      <c r="F22" s="14" t="s">
        <v>281</v>
      </c>
      <c r="G22" s="14" t="s">
        <v>341</v>
      </c>
      <c r="H22" s="14" t="s">
        <v>435</v>
      </c>
      <c r="I22" s="14" t="s">
        <v>672</v>
      </c>
      <c r="J22" s="14" t="s">
        <v>484</v>
      </c>
      <c r="K22" s="14" t="s">
        <v>599</v>
      </c>
      <c r="L22" s="14">
        <v>1</v>
      </c>
      <c r="M22" s="14">
        <f t="shared" si="1"/>
        <v>10</v>
      </c>
      <c r="N22" s="14">
        <v>20</v>
      </c>
      <c r="O22" s="54" t="s">
        <v>701</v>
      </c>
      <c r="P22" s="15" t="s">
        <v>710</v>
      </c>
      <c r="Q22" s="15">
        <f>P22*N22</f>
        <v>0.88600000000000001</v>
      </c>
      <c r="R22" s="14"/>
    </row>
    <row r="23" spans="1:18" ht="24">
      <c r="A23" s="1"/>
      <c r="B23" s="17">
        <f t="shared" si="0"/>
        <v>16</v>
      </c>
      <c r="C23" s="23" t="s">
        <v>6</v>
      </c>
      <c r="D23" s="20" t="s">
        <v>44</v>
      </c>
      <c r="E23" s="20" t="s">
        <v>172</v>
      </c>
      <c r="F23" s="20" t="s">
        <v>284</v>
      </c>
      <c r="G23" s="20" t="s">
        <v>342</v>
      </c>
      <c r="H23" s="20" t="s">
        <v>435</v>
      </c>
      <c r="I23" s="14" t="s">
        <v>672</v>
      </c>
      <c r="J23" s="20" t="s">
        <v>485</v>
      </c>
      <c r="K23" s="20" t="s">
        <v>596</v>
      </c>
      <c r="L23" s="20">
        <v>8</v>
      </c>
      <c r="M23" s="14">
        <f t="shared" si="1"/>
        <v>80</v>
      </c>
      <c r="N23" s="20">
        <v>85</v>
      </c>
      <c r="O23" s="54" t="s">
        <v>701</v>
      </c>
      <c r="P23" s="21" t="s">
        <v>711</v>
      </c>
      <c r="Q23" s="21">
        <f t="shared" ref="Q23" si="9">P23*N23</f>
        <v>12.121</v>
      </c>
      <c r="R23" s="20"/>
    </row>
    <row r="24" spans="1:18">
      <c r="A24" s="1"/>
      <c r="B24" s="16">
        <f>ROW(B24) - ROW($B$7)</f>
        <v>17</v>
      </c>
      <c r="C24" s="22" t="s">
        <v>6</v>
      </c>
      <c r="D24" s="14" t="s">
        <v>45</v>
      </c>
      <c r="E24" s="14" t="s">
        <v>173</v>
      </c>
      <c r="F24" s="14" t="s">
        <v>281</v>
      </c>
      <c r="G24" s="14" t="s">
        <v>343</v>
      </c>
      <c r="H24" s="14" t="s">
        <v>435</v>
      </c>
      <c r="I24" s="14" t="s">
        <v>672</v>
      </c>
      <c r="J24" s="14" t="s">
        <v>486</v>
      </c>
      <c r="K24" s="14" t="s">
        <v>600</v>
      </c>
      <c r="L24" s="14">
        <v>5</v>
      </c>
      <c r="M24" s="14">
        <f t="shared" si="1"/>
        <v>50</v>
      </c>
      <c r="N24" s="14">
        <v>100</v>
      </c>
      <c r="O24" s="54" t="s">
        <v>701</v>
      </c>
      <c r="P24" s="15" t="s">
        <v>712</v>
      </c>
      <c r="Q24" s="15">
        <f>P24*N24</f>
        <v>1.8900000000000001</v>
      </c>
      <c r="R24" s="14"/>
    </row>
    <row r="25" spans="1:18">
      <c r="A25" s="1"/>
      <c r="B25" s="17">
        <f t="shared" si="0"/>
        <v>18</v>
      </c>
      <c r="C25" s="23" t="s">
        <v>6</v>
      </c>
      <c r="D25" s="20" t="s">
        <v>46</v>
      </c>
      <c r="E25" s="20" t="s">
        <v>174</v>
      </c>
      <c r="F25" s="20" t="s">
        <v>281</v>
      </c>
      <c r="G25" s="20" t="s">
        <v>344</v>
      </c>
      <c r="H25" s="20" t="s">
        <v>435</v>
      </c>
      <c r="I25" s="14" t="s">
        <v>672</v>
      </c>
      <c r="J25" s="20" t="s">
        <v>487</v>
      </c>
      <c r="K25" s="20" t="s">
        <v>601</v>
      </c>
      <c r="L25" s="20">
        <v>1</v>
      </c>
      <c r="M25" s="14">
        <f t="shared" si="1"/>
        <v>10</v>
      </c>
      <c r="N25" s="20">
        <v>20</v>
      </c>
      <c r="O25" s="54" t="s">
        <v>701</v>
      </c>
      <c r="P25" s="21" t="s">
        <v>713</v>
      </c>
      <c r="Q25" s="21">
        <f t="shared" ref="Q25" si="10">P25*N25</f>
        <v>1.1440000000000001</v>
      </c>
      <c r="R25" s="20"/>
    </row>
    <row r="26" spans="1:18">
      <c r="A26" s="1"/>
      <c r="B26" s="16">
        <f>ROW(B26) - ROW($B$7)</f>
        <v>19</v>
      </c>
      <c r="C26" s="22" t="s">
        <v>6</v>
      </c>
      <c r="D26" s="14" t="s">
        <v>47</v>
      </c>
      <c r="E26" s="14" t="s">
        <v>175</v>
      </c>
      <c r="F26" s="14" t="s">
        <v>281</v>
      </c>
      <c r="G26" s="14" t="s">
        <v>345</v>
      </c>
      <c r="H26" s="14" t="s">
        <v>438</v>
      </c>
      <c r="I26" s="14" t="s">
        <v>672</v>
      </c>
      <c r="J26" s="14" t="s">
        <v>488</v>
      </c>
      <c r="K26" s="14" t="s">
        <v>588</v>
      </c>
      <c r="L26" s="14">
        <v>3</v>
      </c>
      <c r="M26" s="14">
        <f t="shared" si="1"/>
        <v>30</v>
      </c>
      <c r="N26" s="14" t="s">
        <v>783</v>
      </c>
      <c r="O26" s="54" t="s">
        <v>701</v>
      </c>
      <c r="P26" s="15" t="s">
        <v>714</v>
      </c>
      <c r="Q26" s="15">
        <f>P26*N26</f>
        <v>1.032</v>
      </c>
      <c r="R26" s="14"/>
    </row>
    <row r="27" spans="1:18">
      <c r="A27" s="1"/>
      <c r="B27" s="17">
        <f t="shared" si="0"/>
        <v>20</v>
      </c>
      <c r="C27" s="23" t="s">
        <v>6</v>
      </c>
      <c r="D27" s="20" t="s">
        <v>48</v>
      </c>
      <c r="E27" s="20" t="s">
        <v>176</v>
      </c>
      <c r="F27" s="20" t="s">
        <v>281</v>
      </c>
      <c r="G27" s="20" t="s">
        <v>346</v>
      </c>
      <c r="H27" s="20" t="s">
        <v>435</v>
      </c>
      <c r="I27" s="14" t="s">
        <v>672</v>
      </c>
      <c r="J27" s="20" t="s">
        <v>489</v>
      </c>
      <c r="K27" s="20" t="s">
        <v>602</v>
      </c>
      <c r="L27" s="20">
        <v>2</v>
      </c>
      <c r="M27" s="14">
        <f t="shared" si="1"/>
        <v>20</v>
      </c>
      <c r="N27" s="20" t="s">
        <v>786</v>
      </c>
      <c r="O27" s="54" t="s">
        <v>701</v>
      </c>
      <c r="P27" s="21" t="s">
        <v>715</v>
      </c>
      <c r="Q27" s="21">
        <f t="shared" ref="Q27" si="11">P27*N27</f>
        <v>0.61</v>
      </c>
      <c r="R27" s="20"/>
    </row>
    <row r="28" spans="1:18">
      <c r="A28" s="1"/>
      <c r="B28" s="16">
        <f>ROW(B28) - ROW($B$7)</f>
        <v>21</v>
      </c>
      <c r="C28" s="23" t="s">
        <v>6</v>
      </c>
      <c r="D28" s="14" t="s">
        <v>49</v>
      </c>
      <c r="E28" s="14" t="s">
        <v>177</v>
      </c>
      <c r="F28" s="14" t="s">
        <v>281</v>
      </c>
      <c r="G28" s="14" t="s">
        <v>347</v>
      </c>
      <c r="H28" s="14" t="s">
        <v>435</v>
      </c>
      <c r="I28" s="14" t="s">
        <v>672</v>
      </c>
      <c r="J28" s="14" t="s">
        <v>690</v>
      </c>
      <c r="K28" s="14" t="s">
        <v>603</v>
      </c>
      <c r="L28" s="14">
        <v>3</v>
      </c>
      <c r="M28" s="14">
        <f t="shared" si="1"/>
        <v>30</v>
      </c>
      <c r="N28" s="14" t="s">
        <v>783</v>
      </c>
      <c r="O28" s="54" t="s">
        <v>701</v>
      </c>
      <c r="P28" s="15" t="s">
        <v>714</v>
      </c>
      <c r="Q28" s="15">
        <f>P28*N28</f>
        <v>1.032</v>
      </c>
      <c r="R28" s="14"/>
    </row>
    <row r="29" spans="1:18">
      <c r="A29" s="1"/>
      <c r="B29" s="17">
        <f t="shared" si="0"/>
        <v>22</v>
      </c>
      <c r="C29" s="23" t="s">
        <v>6</v>
      </c>
      <c r="D29" s="20" t="s">
        <v>50</v>
      </c>
      <c r="E29" s="20" t="s">
        <v>178</v>
      </c>
      <c r="F29" s="20" t="s">
        <v>281</v>
      </c>
      <c r="G29" s="20" t="s">
        <v>348</v>
      </c>
      <c r="H29" s="20" t="s">
        <v>438</v>
      </c>
      <c r="I29" s="14" t="s">
        <v>672</v>
      </c>
      <c r="J29" s="20" t="s">
        <v>490</v>
      </c>
      <c r="K29" s="20" t="s">
        <v>604</v>
      </c>
      <c r="L29" s="20">
        <v>1</v>
      </c>
      <c r="M29" s="14">
        <f t="shared" si="1"/>
        <v>10</v>
      </c>
      <c r="N29" s="20" t="s">
        <v>787</v>
      </c>
      <c r="O29" s="54" t="s">
        <v>701</v>
      </c>
      <c r="P29" s="21" t="s">
        <v>716</v>
      </c>
      <c r="Q29" s="21">
        <f t="shared" ref="Q29" si="12">P29*N29</f>
        <v>0.50800000000000001</v>
      </c>
      <c r="R29" s="20"/>
    </row>
    <row r="30" spans="1:18">
      <c r="A30" s="1"/>
      <c r="B30" s="16">
        <f>ROW(B30) - ROW($B$7)</f>
        <v>23</v>
      </c>
      <c r="C30" s="23" t="s">
        <v>6</v>
      </c>
      <c r="D30" s="14" t="s">
        <v>51</v>
      </c>
      <c r="E30" s="14" t="s">
        <v>179</v>
      </c>
      <c r="F30" s="14" t="s">
        <v>285</v>
      </c>
      <c r="G30" s="14" t="s">
        <v>349</v>
      </c>
      <c r="H30" s="14" t="s">
        <v>439</v>
      </c>
      <c r="I30" s="14" t="s">
        <v>672</v>
      </c>
      <c r="J30" s="14" t="s">
        <v>491</v>
      </c>
      <c r="K30" s="14" t="s">
        <v>605</v>
      </c>
      <c r="L30" s="14">
        <v>2</v>
      </c>
      <c r="M30" s="14">
        <f t="shared" si="1"/>
        <v>20</v>
      </c>
      <c r="N30" s="14">
        <v>25</v>
      </c>
      <c r="O30" s="54" t="s">
        <v>701</v>
      </c>
      <c r="P30" s="15" t="s">
        <v>717</v>
      </c>
      <c r="Q30" s="15">
        <f>P30*N30</f>
        <v>5.7050000000000001</v>
      </c>
      <c r="R30" s="14"/>
    </row>
    <row r="31" spans="1:18">
      <c r="A31" s="1"/>
      <c r="B31" s="17">
        <f t="shared" si="0"/>
        <v>24</v>
      </c>
      <c r="C31" s="23" t="s">
        <v>6</v>
      </c>
      <c r="D31" s="20" t="s">
        <v>52</v>
      </c>
      <c r="E31" s="20" t="s">
        <v>180</v>
      </c>
      <c r="F31" s="20" t="s">
        <v>281</v>
      </c>
      <c r="G31" s="20" t="s">
        <v>350</v>
      </c>
      <c r="H31" s="20" t="s">
        <v>435</v>
      </c>
      <c r="I31" s="14" t="s">
        <v>672</v>
      </c>
      <c r="J31" s="20" t="s">
        <v>492</v>
      </c>
      <c r="K31" s="20" t="s">
        <v>606</v>
      </c>
      <c r="L31" s="20">
        <v>2</v>
      </c>
      <c r="M31" s="14">
        <f t="shared" si="1"/>
        <v>20</v>
      </c>
      <c r="N31" s="20" t="s">
        <v>786</v>
      </c>
      <c r="O31" s="54" t="s">
        <v>701</v>
      </c>
      <c r="P31" s="21" t="s">
        <v>718</v>
      </c>
      <c r="Q31" s="21">
        <f t="shared" ref="Q31" si="13">P31*N31</f>
        <v>0.89500000000000002</v>
      </c>
      <c r="R31" s="20"/>
    </row>
    <row r="32" spans="1:18">
      <c r="A32" s="1"/>
      <c r="B32" s="16">
        <f>ROW(B32) - ROW($B$7)</f>
        <v>25</v>
      </c>
      <c r="C32" s="23" t="s">
        <v>6</v>
      </c>
      <c r="D32" s="14" t="s">
        <v>53</v>
      </c>
      <c r="E32" s="14" t="s">
        <v>181</v>
      </c>
      <c r="F32" s="14" t="s">
        <v>281</v>
      </c>
      <c r="G32" s="14" t="s">
        <v>351</v>
      </c>
      <c r="H32" s="14" t="s">
        <v>438</v>
      </c>
      <c r="I32" s="14" t="s">
        <v>672</v>
      </c>
      <c r="J32" s="14" t="s">
        <v>493</v>
      </c>
      <c r="K32" s="14" t="s">
        <v>607</v>
      </c>
      <c r="L32" s="14">
        <v>2</v>
      </c>
      <c r="M32" s="14">
        <f t="shared" si="1"/>
        <v>20</v>
      </c>
      <c r="N32" s="14" t="s">
        <v>784</v>
      </c>
      <c r="O32" s="54" t="s">
        <v>701</v>
      </c>
      <c r="P32" s="15" t="s">
        <v>719</v>
      </c>
      <c r="Q32" s="15">
        <f>P32*N32</f>
        <v>0.25</v>
      </c>
      <c r="R32" s="14"/>
    </row>
    <row r="33" spans="1:18">
      <c r="A33" s="1"/>
      <c r="B33" s="17">
        <f t="shared" si="0"/>
        <v>26</v>
      </c>
      <c r="C33" s="23" t="s">
        <v>6</v>
      </c>
      <c r="D33" s="20" t="s">
        <v>54</v>
      </c>
      <c r="E33" s="20" t="s">
        <v>182</v>
      </c>
      <c r="F33" s="20" t="s">
        <v>281</v>
      </c>
      <c r="G33" s="20" t="s">
        <v>352</v>
      </c>
      <c r="H33" s="20" t="s">
        <v>438</v>
      </c>
      <c r="I33" s="14" t="s">
        <v>672</v>
      </c>
      <c r="J33" s="20" t="s">
        <v>494</v>
      </c>
      <c r="K33" s="20" t="s">
        <v>608</v>
      </c>
      <c r="L33" s="20">
        <v>2</v>
      </c>
      <c r="M33" s="14">
        <f t="shared" si="1"/>
        <v>20</v>
      </c>
      <c r="N33" s="20" t="s">
        <v>784</v>
      </c>
      <c r="O33" s="54" t="s">
        <v>701</v>
      </c>
      <c r="P33" s="21" t="s">
        <v>720</v>
      </c>
      <c r="Q33" s="21">
        <f t="shared" ref="Q33" si="14">P33*N33</f>
        <v>0.32</v>
      </c>
      <c r="R33" s="20"/>
    </row>
    <row r="34" spans="1:18" ht="24">
      <c r="A34" s="1"/>
      <c r="B34" s="16">
        <f>ROW(B34) - ROW($B$7)</f>
        <v>27</v>
      </c>
      <c r="C34" s="23" t="s">
        <v>6</v>
      </c>
      <c r="D34" s="14" t="s">
        <v>55</v>
      </c>
      <c r="E34" s="14" t="s">
        <v>183</v>
      </c>
      <c r="F34" s="14" t="s">
        <v>280</v>
      </c>
      <c r="G34" s="14" t="s">
        <v>353</v>
      </c>
      <c r="H34" s="14" t="s">
        <v>438</v>
      </c>
      <c r="I34" s="14" t="s">
        <v>672</v>
      </c>
      <c r="J34" s="14" t="s">
        <v>495</v>
      </c>
      <c r="K34" s="14" t="s">
        <v>594</v>
      </c>
      <c r="L34" s="14">
        <v>8</v>
      </c>
      <c r="M34" s="14">
        <f t="shared" si="1"/>
        <v>80</v>
      </c>
      <c r="N34" s="14" t="s">
        <v>784</v>
      </c>
      <c r="O34" s="54" t="s">
        <v>701</v>
      </c>
      <c r="P34" s="15" t="s">
        <v>721</v>
      </c>
      <c r="Q34" s="15">
        <f>P34*N34</f>
        <v>0.11</v>
      </c>
      <c r="R34" s="14"/>
    </row>
    <row r="35" spans="1:18">
      <c r="A35" s="1"/>
      <c r="B35" s="17">
        <f t="shared" si="0"/>
        <v>28</v>
      </c>
      <c r="C35" s="23" t="s">
        <v>6</v>
      </c>
      <c r="D35" s="20" t="s">
        <v>56</v>
      </c>
      <c r="E35" s="20" t="s">
        <v>184</v>
      </c>
      <c r="F35" s="20" t="s">
        <v>280</v>
      </c>
      <c r="G35" s="20" t="s">
        <v>354</v>
      </c>
      <c r="H35" s="20" t="s">
        <v>438</v>
      </c>
      <c r="I35" s="14" t="s">
        <v>672</v>
      </c>
      <c r="J35" s="20" t="s">
        <v>496</v>
      </c>
      <c r="K35" s="20" t="s">
        <v>588</v>
      </c>
      <c r="L35" s="20">
        <v>1</v>
      </c>
      <c r="M35" s="14">
        <f t="shared" si="1"/>
        <v>10</v>
      </c>
      <c r="N35" s="20" t="s">
        <v>784</v>
      </c>
      <c r="O35" s="54" t="s">
        <v>701</v>
      </c>
      <c r="P35" s="21" t="s">
        <v>722</v>
      </c>
      <c r="Q35" s="21">
        <f t="shared" ref="Q35" si="15">P35*N35</f>
        <v>0.76</v>
      </c>
      <c r="R35" s="20"/>
    </row>
    <row r="36" spans="1:18">
      <c r="A36" s="1"/>
      <c r="B36" s="16">
        <f>ROW(B36) - ROW($B$7)</f>
        <v>29</v>
      </c>
      <c r="C36" s="22" t="s">
        <v>7</v>
      </c>
      <c r="D36" s="14" t="s">
        <v>57</v>
      </c>
      <c r="E36" s="14" t="s">
        <v>185</v>
      </c>
      <c r="F36" s="14" t="s">
        <v>280</v>
      </c>
      <c r="G36" s="14" t="s">
        <v>355</v>
      </c>
      <c r="H36" s="14" t="s">
        <v>438</v>
      </c>
      <c r="I36" s="14" t="s">
        <v>672</v>
      </c>
      <c r="J36" s="14" t="s">
        <v>497</v>
      </c>
      <c r="K36" s="14" t="s">
        <v>589</v>
      </c>
      <c r="L36" s="14">
        <v>1</v>
      </c>
      <c r="M36" s="14">
        <f t="shared" si="1"/>
        <v>10</v>
      </c>
      <c r="N36" s="14" t="s">
        <v>787</v>
      </c>
      <c r="O36" s="54" t="s">
        <v>701</v>
      </c>
      <c r="P36" s="15" t="s">
        <v>723</v>
      </c>
      <c r="Q36" s="15">
        <f>P36*N36</f>
        <v>0.45800000000000002</v>
      </c>
      <c r="R36" s="14"/>
    </row>
    <row r="37" spans="1:18" ht="24">
      <c r="A37" s="1"/>
      <c r="B37" s="17">
        <f t="shared" si="0"/>
        <v>30</v>
      </c>
      <c r="C37" s="23" t="s">
        <v>7</v>
      </c>
      <c r="D37" s="50" t="s">
        <v>58</v>
      </c>
      <c r="E37" s="50" t="s">
        <v>186</v>
      </c>
      <c r="F37" s="50" t="s">
        <v>280</v>
      </c>
      <c r="G37" s="50" t="s">
        <v>356</v>
      </c>
      <c r="H37" s="50" t="s">
        <v>435</v>
      </c>
      <c r="I37" s="50" t="s">
        <v>672</v>
      </c>
      <c r="J37" s="50" t="s">
        <v>498</v>
      </c>
      <c r="K37" s="50" t="s">
        <v>609</v>
      </c>
      <c r="L37" s="50">
        <v>7</v>
      </c>
      <c r="M37" s="45">
        <f t="shared" si="1"/>
        <v>70</v>
      </c>
      <c r="N37" s="50" t="s">
        <v>789</v>
      </c>
      <c r="O37" s="54" t="s">
        <v>672</v>
      </c>
      <c r="P37" s="51" t="s">
        <v>672</v>
      </c>
      <c r="Q37" s="51" t="s">
        <v>672</v>
      </c>
      <c r="R37" s="53" t="s">
        <v>688</v>
      </c>
    </row>
    <row r="38" spans="1:18">
      <c r="A38" s="1"/>
      <c r="B38" s="16">
        <f>ROW(B38) - ROW($B$7)</f>
        <v>31</v>
      </c>
      <c r="C38" s="22" t="s">
        <v>6</v>
      </c>
      <c r="D38" s="45" t="s">
        <v>59</v>
      </c>
      <c r="E38" s="45" t="s">
        <v>162</v>
      </c>
      <c r="F38" s="45" t="s">
        <v>281</v>
      </c>
      <c r="G38" s="45" t="s">
        <v>332</v>
      </c>
      <c r="H38" s="45" t="s">
        <v>435</v>
      </c>
      <c r="I38" s="45" t="s">
        <v>672</v>
      </c>
      <c r="J38" s="45" t="s">
        <v>476</v>
      </c>
      <c r="K38" s="45" t="s">
        <v>609</v>
      </c>
      <c r="L38" s="45">
        <v>1</v>
      </c>
      <c r="M38" s="45">
        <f t="shared" si="1"/>
        <v>10</v>
      </c>
      <c r="N38" s="45" t="s">
        <v>786</v>
      </c>
      <c r="O38" s="55" t="s">
        <v>672</v>
      </c>
      <c r="P38" s="52" t="s">
        <v>672</v>
      </c>
      <c r="Q38" s="52" t="s">
        <v>672</v>
      </c>
      <c r="R38" s="53" t="s">
        <v>688</v>
      </c>
    </row>
    <row r="39" spans="1:18" ht="24">
      <c r="A39" s="1"/>
      <c r="B39" s="17">
        <f t="shared" si="0"/>
        <v>32</v>
      </c>
      <c r="C39" s="23" t="s">
        <v>9</v>
      </c>
      <c r="D39" s="20" t="s">
        <v>60</v>
      </c>
      <c r="E39" s="20" t="s">
        <v>187</v>
      </c>
      <c r="F39" s="20" t="s">
        <v>286</v>
      </c>
      <c r="G39" s="20" t="s">
        <v>357</v>
      </c>
      <c r="H39" s="20" t="s">
        <v>440</v>
      </c>
      <c r="I39" s="20" t="s">
        <v>672</v>
      </c>
      <c r="J39" s="20" t="s">
        <v>499</v>
      </c>
      <c r="K39" s="20" t="s">
        <v>672</v>
      </c>
      <c r="L39" s="20">
        <v>9</v>
      </c>
      <c r="M39" s="14">
        <f t="shared" si="1"/>
        <v>90</v>
      </c>
      <c r="N39" s="20" t="s">
        <v>784</v>
      </c>
      <c r="O39" s="54" t="s">
        <v>701</v>
      </c>
      <c r="P39" s="21" t="s">
        <v>724</v>
      </c>
      <c r="Q39" s="21">
        <f t="shared" ref="Q39" si="16">P39*N39</f>
        <v>2.19</v>
      </c>
      <c r="R39" s="20"/>
    </row>
    <row r="40" spans="1:18" ht="24">
      <c r="A40" s="1"/>
      <c r="B40" s="16">
        <f>ROW(B40) - ROW($B$7)</f>
        <v>33</v>
      </c>
      <c r="C40" s="22" t="s">
        <v>10</v>
      </c>
      <c r="D40" s="14" t="s">
        <v>61</v>
      </c>
      <c r="E40" s="14" t="s">
        <v>188</v>
      </c>
      <c r="F40" s="14" t="s">
        <v>287</v>
      </c>
      <c r="G40" s="14" t="s">
        <v>358</v>
      </c>
      <c r="H40" s="14" t="s">
        <v>441</v>
      </c>
      <c r="I40" s="20" t="s">
        <v>672</v>
      </c>
      <c r="J40" s="14" t="s">
        <v>500</v>
      </c>
      <c r="K40" s="20" t="s">
        <v>672</v>
      </c>
      <c r="L40" s="14">
        <v>1</v>
      </c>
      <c r="M40" s="14">
        <f t="shared" si="1"/>
        <v>10</v>
      </c>
      <c r="N40" s="14" t="s">
        <v>787</v>
      </c>
      <c r="O40" s="54" t="s">
        <v>701</v>
      </c>
      <c r="P40" s="15" t="s">
        <v>725</v>
      </c>
      <c r="Q40" s="15">
        <f>P40*N40</f>
        <v>0.46600000000000003</v>
      </c>
      <c r="R40" s="14"/>
    </row>
    <row r="41" spans="1:18">
      <c r="A41" s="1"/>
      <c r="B41" s="17">
        <f t="shared" si="0"/>
        <v>34</v>
      </c>
      <c r="C41" s="23" t="s">
        <v>10</v>
      </c>
      <c r="D41" s="50" t="s">
        <v>62</v>
      </c>
      <c r="E41" s="50" t="s">
        <v>189</v>
      </c>
      <c r="F41" s="50" t="s">
        <v>288</v>
      </c>
      <c r="G41" s="50" t="s">
        <v>359</v>
      </c>
      <c r="H41" s="50" t="s">
        <v>442</v>
      </c>
      <c r="I41" s="50" t="s">
        <v>672</v>
      </c>
      <c r="J41" s="50" t="s">
        <v>501</v>
      </c>
      <c r="K41" s="50" t="s">
        <v>609</v>
      </c>
      <c r="L41" s="50">
        <v>1</v>
      </c>
      <c r="M41" s="45">
        <f t="shared" si="1"/>
        <v>10</v>
      </c>
      <c r="N41" s="50" t="s">
        <v>787</v>
      </c>
      <c r="O41" s="54" t="s">
        <v>672</v>
      </c>
      <c r="P41" s="51" t="s">
        <v>672</v>
      </c>
      <c r="Q41" s="51" t="s">
        <v>672</v>
      </c>
      <c r="R41" s="53" t="s">
        <v>688</v>
      </c>
    </row>
    <row r="42" spans="1:18">
      <c r="A42" s="1"/>
      <c r="B42" s="16">
        <f>ROW(B42) - ROW($B$7)</f>
        <v>35</v>
      </c>
      <c r="C42" s="22" t="s">
        <v>11</v>
      </c>
      <c r="D42" s="14" t="s">
        <v>63</v>
      </c>
      <c r="E42" s="14" t="s">
        <v>190</v>
      </c>
      <c r="F42" s="14" t="s">
        <v>289</v>
      </c>
      <c r="G42" s="14" t="s">
        <v>360</v>
      </c>
      <c r="H42" s="14" t="s">
        <v>435</v>
      </c>
      <c r="I42" s="14" t="s">
        <v>672</v>
      </c>
      <c r="J42" s="14" t="s">
        <v>502</v>
      </c>
      <c r="K42" s="14" t="s">
        <v>672</v>
      </c>
      <c r="L42" s="14">
        <v>2</v>
      </c>
      <c r="M42" s="14">
        <f t="shared" si="1"/>
        <v>20</v>
      </c>
      <c r="N42" s="14" t="s">
        <v>784</v>
      </c>
      <c r="O42" s="54" t="s">
        <v>701</v>
      </c>
      <c r="P42" s="15" t="s">
        <v>726</v>
      </c>
      <c r="Q42" s="15">
        <f>P42*N42</f>
        <v>0.79</v>
      </c>
      <c r="R42" s="14"/>
    </row>
    <row r="43" spans="1:18" ht="36">
      <c r="A43" s="1"/>
      <c r="B43" s="17">
        <f t="shared" si="0"/>
        <v>36</v>
      </c>
      <c r="C43" s="23" t="s">
        <v>687</v>
      </c>
      <c r="D43" s="20" t="s">
        <v>64</v>
      </c>
      <c r="E43" s="20" t="s">
        <v>191</v>
      </c>
      <c r="F43" s="20" t="s">
        <v>674</v>
      </c>
      <c r="G43" s="20">
        <v>5027740891</v>
      </c>
      <c r="H43" s="20" t="s">
        <v>443</v>
      </c>
      <c r="I43" s="14" t="s">
        <v>672</v>
      </c>
      <c r="J43" s="20" t="s">
        <v>691</v>
      </c>
      <c r="K43" s="14" t="s">
        <v>672</v>
      </c>
      <c r="L43" s="20">
        <v>1</v>
      </c>
      <c r="M43" s="14">
        <f t="shared" si="1"/>
        <v>10</v>
      </c>
      <c r="N43" s="20">
        <v>11</v>
      </c>
      <c r="O43" s="54" t="s">
        <v>701</v>
      </c>
      <c r="P43" s="21" t="s">
        <v>727</v>
      </c>
      <c r="Q43" s="21">
        <f t="shared" ref="Q43" si="17">P43*N43</f>
        <v>16.157900000000001</v>
      </c>
      <c r="R43" s="20"/>
    </row>
    <row r="44" spans="1:18" ht="48">
      <c r="A44" s="1"/>
      <c r="B44" s="16">
        <f>ROW(B44) - ROW($B$7)</f>
        <v>37</v>
      </c>
      <c r="C44" s="22" t="s">
        <v>12</v>
      </c>
      <c r="D44" s="14" t="s">
        <v>65</v>
      </c>
      <c r="E44" s="14" t="s">
        <v>192</v>
      </c>
      <c r="F44" s="20" t="s">
        <v>674</v>
      </c>
      <c r="G44" s="14" t="s">
        <v>290</v>
      </c>
      <c r="H44" s="14" t="s">
        <v>444</v>
      </c>
      <c r="I44" s="14" t="s">
        <v>672</v>
      </c>
      <c r="J44" s="14" t="s">
        <v>503</v>
      </c>
      <c r="K44" s="14" t="s">
        <v>672</v>
      </c>
      <c r="L44" s="14">
        <v>1</v>
      </c>
      <c r="M44" s="14">
        <f t="shared" si="1"/>
        <v>10</v>
      </c>
      <c r="N44" s="14">
        <v>15</v>
      </c>
      <c r="O44" s="54" t="s">
        <v>701</v>
      </c>
      <c r="P44" s="15" t="s">
        <v>728</v>
      </c>
      <c r="Q44" s="15">
        <f>P44*N44</f>
        <v>1.206</v>
      </c>
      <c r="R44" s="14"/>
    </row>
    <row r="45" spans="1:18" ht="24">
      <c r="A45" s="1"/>
      <c r="B45" s="17">
        <f t="shared" si="0"/>
        <v>38</v>
      </c>
      <c r="C45" s="23" t="s">
        <v>13</v>
      </c>
      <c r="D45" s="20" t="s">
        <v>66</v>
      </c>
      <c r="E45" s="20" t="s">
        <v>193</v>
      </c>
      <c r="F45" s="20" t="s">
        <v>674</v>
      </c>
      <c r="G45" s="20" t="s">
        <v>291</v>
      </c>
      <c r="H45" s="20" t="s">
        <v>445</v>
      </c>
      <c r="I45" s="14" t="s">
        <v>672</v>
      </c>
      <c r="J45" s="20" t="s">
        <v>504</v>
      </c>
      <c r="K45" s="14" t="s">
        <v>672</v>
      </c>
      <c r="L45" s="20">
        <v>1</v>
      </c>
      <c r="M45" s="14">
        <f t="shared" si="1"/>
        <v>10</v>
      </c>
      <c r="N45" s="20">
        <v>15</v>
      </c>
      <c r="O45" s="54" t="s">
        <v>701</v>
      </c>
      <c r="P45" s="21" t="s">
        <v>729</v>
      </c>
      <c r="Q45" s="21">
        <f t="shared" ref="Q45" si="18">P45*N45</f>
        <v>3.66</v>
      </c>
      <c r="R45" s="20"/>
    </row>
    <row r="46" spans="1:18">
      <c r="A46" s="1"/>
      <c r="B46" s="16">
        <f>ROW(B46) - ROW($B$7)</f>
        <v>39</v>
      </c>
      <c r="C46" s="22" t="s">
        <v>14</v>
      </c>
      <c r="D46" s="14" t="s">
        <v>67</v>
      </c>
      <c r="E46" s="14" t="s">
        <v>194</v>
      </c>
      <c r="F46" s="20" t="s">
        <v>674</v>
      </c>
      <c r="G46" s="14" t="s">
        <v>292</v>
      </c>
      <c r="H46" s="14" t="s">
        <v>446</v>
      </c>
      <c r="I46" s="14" t="s">
        <v>672</v>
      </c>
      <c r="J46" s="14" t="s">
        <v>505</v>
      </c>
      <c r="K46" s="14" t="s">
        <v>672</v>
      </c>
      <c r="L46" s="14">
        <v>1</v>
      </c>
      <c r="M46" s="14">
        <f t="shared" si="1"/>
        <v>10</v>
      </c>
      <c r="N46" s="14">
        <v>11</v>
      </c>
      <c r="O46" s="54" t="s">
        <v>701</v>
      </c>
      <c r="P46" s="15" t="s">
        <v>730</v>
      </c>
      <c r="Q46" s="15">
        <f>P46*N46</f>
        <v>3.1932999999999998</v>
      </c>
      <c r="R46" s="14"/>
    </row>
    <row r="47" spans="1:18" ht="25.5">
      <c r="A47" s="1"/>
      <c r="B47" s="17">
        <f t="shared" si="0"/>
        <v>40</v>
      </c>
      <c r="C47" s="23" t="s">
        <v>15</v>
      </c>
      <c r="D47" s="20" t="s">
        <v>68</v>
      </c>
      <c r="E47" s="20" t="s">
        <v>195</v>
      </c>
      <c r="F47" s="20" t="s">
        <v>674</v>
      </c>
      <c r="G47" s="20" t="s">
        <v>293</v>
      </c>
      <c r="H47" s="20" t="s">
        <v>446</v>
      </c>
      <c r="I47" s="14" t="s">
        <v>672</v>
      </c>
      <c r="J47" s="20" t="s">
        <v>506</v>
      </c>
      <c r="K47" s="14" t="s">
        <v>672</v>
      </c>
      <c r="L47" s="20">
        <v>2</v>
      </c>
      <c r="M47" s="14">
        <f t="shared" si="1"/>
        <v>20</v>
      </c>
      <c r="N47" s="20">
        <v>25</v>
      </c>
      <c r="O47" s="54" t="s">
        <v>701</v>
      </c>
      <c r="P47" s="21" t="s">
        <v>731</v>
      </c>
      <c r="Q47" s="21">
        <f t="shared" ref="Q47" si="19">P47*N47</f>
        <v>7.6674999999999995</v>
      </c>
      <c r="R47" s="20"/>
    </row>
    <row r="48" spans="1:18" ht="25.5">
      <c r="A48" s="1"/>
      <c r="B48" s="17">
        <f t="shared" si="0"/>
        <v>41</v>
      </c>
      <c r="C48" s="23" t="s">
        <v>15</v>
      </c>
      <c r="D48" s="50" t="s">
        <v>69</v>
      </c>
      <c r="E48" s="50" t="s">
        <v>195</v>
      </c>
      <c r="F48" s="20" t="s">
        <v>674</v>
      </c>
      <c r="G48" s="50" t="s">
        <v>293</v>
      </c>
      <c r="H48" s="50" t="s">
        <v>446</v>
      </c>
      <c r="I48" s="50" t="s">
        <v>672</v>
      </c>
      <c r="J48" s="50" t="s">
        <v>506</v>
      </c>
      <c r="K48" s="50" t="s">
        <v>609</v>
      </c>
      <c r="L48" s="50">
        <v>1</v>
      </c>
      <c r="M48" s="45">
        <f t="shared" si="1"/>
        <v>10</v>
      </c>
      <c r="N48" s="50" t="s">
        <v>788</v>
      </c>
      <c r="O48" s="54" t="s">
        <v>672</v>
      </c>
      <c r="P48" s="51" t="s">
        <v>672</v>
      </c>
      <c r="Q48" s="51" t="s">
        <v>672</v>
      </c>
      <c r="R48" s="53" t="s">
        <v>688</v>
      </c>
    </row>
    <row r="49" spans="1:18" ht="25.5">
      <c r="A49" s="1"/>
      <c r="B49" s="17">
        <f t="shared" si="0"/>
        <v>42</v>
      </c>
      <c r="C49" s="23" t="s">
        <v>16</v>
      </c>
      <c r="D49" s="20" t="s">
        <v>70</v>
      </c>
      <c r="E49" s="20" t="s">
        <v>196</v>
      </c>
      <c r="F49" s="20" t="s">
        <v>674</v>
      </c>
      <c r="G49" s="20" t="s">
        <v>294</v>
      </c>
      <c r="H49" s="20" t="s">
        <v>447</v>
      </c>
      <c r="I49" s="20" t="s">
        <v>672</v>
      </c>
      <c r="J49" s="20" t="s">
        <v>507</v>
      </c>
      <c r="K49" s="20" t="s">
        <v>672</v>
      </c>
      <c r="L49" s="20">
        <v>1</v>
      </c>
      <c r="M49" s="14">
        <f t="shared" si="1"/>
        <v>10</v>
      </c>
      <c r="N49" s="20">
        <v>15</v>
      </c>
      <c r="O49" s="54" t="s">
        <v>701</v>
      </c>
      <c r="P49" s="21" t="s">
        <v>732</v>
      </c>
      <c r="Q49" s="21">
        <f t="shared" ref="Q49" si="20">P49*N49</f>
        <v>1.488</v>
      </c>
      <c r="R49" s="20"/>
    </row>
    <row r="50" spans="1:18">
      <c r="A50" s="1"/>
      <c r="B50" s="17">
        <f t="shared" si="0"/>
        <v>43</v>
      </c>
      <c r="C50" s="23" t="s">
        <v>17</v>
      </c>
      <c r="D50" s="20" t="s">
        <v>71</v>
      </c>
      <c r="E50" s="20" t="s">
        <v>197</v>
      </c>
      <c r="F50" s="20" t="s">
        <v>674</v>
      </c>
      <c r="G50" s="20" t="s">
        <v>361</v>
      </c>
      <c r="H50" s="20" t="s">
        <v>448</v>
      </c>
      <c r="I50" s="20" t="s">
        <v>672</v>
      </c>
      <c r="J50" s="20" t="s">
        <v>508</v>
      </c>
      <c r="K50" s="20" t="s">
        <v>610</v>
      </c>
      <c r="L50" s="20">
        <v>1</v>
      </c>
      <c r="M50" s="14">
        <f t="shared" si="1"/>
        <v>10</v>
      </c>
      <c r="N50" s="20">
        <v>11</v>
      </c>
      <c r="O50" s="54" t="s">
        <v>701</v>
      </c>
      <c r="P50" s="21" t="s">
        <v>733</v>
      </c>
      <c r="Q50" s="21">
        <f t="shared" ref="Q50" si="21">P50*N50</f>
        <v>5.8585999999999991</v>
      </c>
      <c r="R50" s="20"/>
    </row>
    <row r="51" spans="1:18" ht="24">
      <c r="A51" s="1"/>
      <c r="B51" s="16">
        <f>ROW(B51) - ROW($B$7)</f>
        <v>44</v>
      </c>
      <c r="C51" s="22" t="s">
        <v>18</v>
      </c>
      <c r="D51" s="14" t="s">
        <v>72</v>
      </c>
      <c r="E51" s="14" t="s">
        <v>198</v>
      </c>
      <c r="F51" s="20" t="s">
        <v>674</v>
      </c>
      <c r="G51" s="14" t="s">
        <v>295</v>
      </c>
      <c r="H51" s="14" t="s">
        <v>449</v>
      </c>
      <c r="I51" s="20" t="s">
        <v>672</v>
      </c>
      <c r="J51" s="14" t="s">
        <v>509</v>
      </c>
      <c r="K51" s="14" t="s">
        <v>611</v>
      </c>
      <c r="L51" s="14">
        <v>3</v>
      </c>
      <c r="M51" s="14">
        <f t="shared" si="1"/>
        <v>30</v>
      </c>
      <c r="N51" s="14">
        <v>40</v>
      </c>
      <c r="O51" s="54" t="s">
        <v>701</v>
      </c>
      <c r="P51" s="15" t="s">
        <v>734</v>
      </c>
      <c r="Q51" s="15">
        <f>P51*N51</f>
        <v>2.2279999999999998</v>
      </c>
      <c r="R51" s="14"/>
    </row>
    <row r="52" spans="1:18">
      <c r="A52" s="1"/>
      <c r="B52" s="17">
        <f t="shared" si="0"/>
        <v>45</v>
      </c>
      <c r="C52" s="22" t="s">
        <v>18</v>
      </c>
      <c r="D52" s="20" t="s">
        <v>73</v>
      </c>
      <c r="E52" s="20" t="s">
        <v>199</v>
      </c>
      <c r="F52" s="20" t="s">
        <v>674</v>
      </c>
      <c r="G52" s="20" t="s">
        <v>296</v>
      </c>
      <c r="H52" s="20" t="s">
        <v>450</v>
      </c>
      <c r="I52" s="20" t="s">
        <v>672</v>
      </c>
      <c r="J52" s="20" t="s">
        <v>510</v>
      </c>
      <c r="K52" s="20" t="s">
        <v>611</v>
      </c>
      <c r="L52" s="20">
        <v>1</v>
      </c>
      <c r="M52" s="14">
        <f t="shared" si="1"/>
        <v>10</v>
      </c>
      <c r="N52" s="20">
        <v>15</v>
      </c>
      <c r="O52" s="54" t="s">
        <v>701</v>
      </c>
      <c r="P52" s="21" t="s">
        <v>735</v>
      </c>
      <c r="Q52" s="21">
        <f t="shared" ref="Q52" si="22">P52*N52</f>
        <v>3.585</v>
      </c>
      <c r="R52" s="20"/>
    </row>
    <row r="53" spans="1:18" ht="24">
      <c r="A53" s="1"/>
      <c r="B53" s="16">
        <f>ROW(B53) - ROW($B$7)</f>
        <v>46</v>
      </c>
      <c r="C53" s="22" t="s">
        <v>18</v>
      </c>
      <c r="D53" s="14" t="s">
        <v>74</v>
      </c>
      <c r="E53" s="14" t="s">
        <v>200</v>
      </c>
      <c r="F53" s="20" t="s">
        <v>674</v>
      </c>
      <c r="G53" s="14" t="s">
        <v>297</v>
      </c>
      <c r="H53" s="14" t="s">
        <v>451</v>
      </c>
      <c r="I53" s="20" t="s">
        <v>672</v>
      </c>
      <c r="J53" s="14" t="s">
        <v>511</v>
      </c>
      <c r="K53" s="14" t="s">
        <v>612</v>
      </c>
      <c r="L53" s="14">
        <v>1</v>
      </c>
      <c r="M53" s="14">
        <f t="shared" si="1"/>
        <v>10</v>
      </c>
      <c r="N53" s="14">
        <v>20</v>
      </c>
      <c r="O53" s="54" t="s">
        <v>701</v>
      </c>
      <c r="P53" s="15" t="s">
        <v>736</v>
      </c>
      <c r="Q53" s="15">
        <f>P53*N53</f>
        <v>1.1779999999999999</v>
      </c>
      <c r="R53" s="14"/>
    </row>
    <row r="54" spans="1:18">
      <c r="A54" s="1"/>
      <c r="B54" s="17">
        <f t="shared" si="0"/>
        <v>47</v>
      </c>
      <c r="C54" s="23" t="s">
        <v>17</v>
      </c>
      <c r="D54" s="50" t="s">
        <v>75</v>
      </c>
      <c r="E54" s="50" t="s">
        <v>201</v>
      </c>
      <c r="F54" s="50" t="s">
        <v>289</v>
      </c>
      <c r="G54" s="50" t="s">
        <v>362</v>
      </c>
      <c r="H54" s="50" t="s">
        <v>435</v>
      </c>
      <c r="I54" s="50" t="s">
        <v>672</v>
      </c>
      <c r="J54" s="50" t="s">
        <v>512</v>
      </c>
      <c r="K54" s="50" t="s">
        <v>609</v>
      </c>
      <c r="L54" s="50">
        <v>1</v>
      </c>
      <c r="M54" s="45">
        <f t="shared" si="1"/>
        <v>10</v>
      </c>
      <c r="N54" s="50" t="s">
        <v>788</v>
      </c>
      <c r="O54" s="54" t="s">
        <v>672</v>
      </c>
      <c r="P54" s="51" t="s">
        <v>672</v>
      </c>
      <c r="Q54" s="51" t="s">
        <v>672</v>
      </c>
      <c r="R54" s="53" t="s">
        <v>688</v>
      </c>
    </row>
    <row r="55" spans="1:18" ht="24">
      <c r="A55" s="1"/>
      <c r="B55" s="16">
        <f>ROW(B55) - ROW($B$7)</f>
        <v>48</v>
      </c>
      <c r="C55" s="22" t="s">
        <v>19</v>
      </c>
      <c r="D55" s="14" t="s">
        <v>76</v>
      </c>
      <c r="E55" s="14" t="s">
        <v>202</v>
      </c>
      <c r="F55" s="14" t="s">
        <v>298</v>
      </c>
      <c r="G55" s="14" t="s">
        <v>363</v>
      </c>
      <c r="H55" s="14" t="s">
        <v>452</v>
      </c>
      <c r="I55" s="14" t="s">
        <v>672</v>
      </c>
      <c r="J55" s="14" t="s">
        <v>513</v>
      </c>
      <c r="K55" s="14" t="s">
        <v>672</v>
      </c>
      <c r="L55" s="14">
        <v>1</v>
      </c>
      <c r="M55" s="14">
        <f t="shared" si="1"/>
        <v>10</v>
      </c>
      <c r="N55" s="14">
        <v>20</v>
      </c>
      <c r="O55" s="54" t="s">
        <v>701</v>
      </c>
      <c r="P55" s="15" t="s">
        <v>737</v>
      </c>
      <c r="Q55" s="15">
        <f>P55*N55</f>
        <v>0.74199999999999999</v>
      </c>
      <c r="R55" s="14"/>
    </row>
    <row r="56" spans="1:18" ht="24">
      <c r="A56" s="1"/>
      <c r="B56" s="17">
        <f t="shared" si="0"/>
        <v>49</v>
      </c>
      <c r="C56" s="23" t="s">
        <v>19</v>
      </c>
      <c r="D56" s="20" t="s">
        <v>669</v>
      </c>
      <c r="E56" s="20" t="s">
        <v>203</v>
      </c>
      <c r="F56" s="20" t="s">
        <v>299</v>
      </c>
      <c r="G56" s="20" t="s">
        <v>364</v>
      </c>
      <c r="H56" s="20" t="s">
        <v>453</v>
      </c>
      <c r="I56" s="14" t="s">
        <v>672</v>
      </c>
      <c r="J56" s="20" t="s">
        <v>514</v>
      </c>
      <c r="K56" s="14" t="s">
        <v>672</v>
      </c>
      <c r="L56" s="20">
        <v>5</v>
      </c>
      <c r="M56" s="14">
        <f t="shared" si="1"/>
        <v>50</v>
      </c>
      <c r="N56" s="20" t="s">
        <v>790</v>
      </c>
      <c r="O56" s="54" t="s">
        <v>701</v>
      </c>
      <c r="P56" s="21" t="s">
        <v>702</v>
      </c>
      <c r="Q56" s="21">
        <f t="shared" ref="Q56" si="23">P56*N56</f>
        <v>1.488</v>
      </c>
      <c r="R56" s="20"/>
    </row>
    <row r="57" spans="1:18" ht="24">
      <c r="A57" s="1"/>
      <c r="B57" s="16">
        <f>ROW(B57) - ROW($B$7)</f>
        <v>50</v>
      </c>
      <c r="C57" s="22" t="s">
        <v>19</v>
      </c>
      <c r="D57" s="14" t="s">
        <v>77</v>
      </c>
      <c r="E57" s="14" t="s">
        <v>204</v>
      </c>
      <c r="F57" s="14" t="s">
        <v>300</v>
      </c>
      <c r="G57" s="14" t="s">
        <v>365</v>
      </c>
      <c r="H57" s="14" t="s">
        <v>454</v>
      </c>
      <c r="I57" s="14" t="s">
        <v>672</v>
      </c>
      <c r="J57" s="14" t="s">
        <v>515</v>
      </c>
      <c r="K57" s="14" t="s">
        <v>672</v>
      </c>
      <c r="L57" s="14">
        <v>2</v>
      </c>
      <c r="M57" s="14">
        <f t="shared" si="1"/>
        <v>20</v>
      </c>
      <c r="N57" s="14">
        <v>40</v>
      </c>
      <c r="O57" s="54" t="s">
        <v>701</v>
      </c>
      <c r="P57" s="15" t="s">
        <v>738</v>
      </c>
      <c r="Q57" s="15">
        <f>P57*N57</f>
        <v>1.3480000000000001</v>
      </c>
      <c r="R57" s="14"/>
    </row>
    <row r="58" spans="1:18">
      <c r="A58" s="1"/>
      <c r="B58" s="17">
        <f t="shared" si="0"/>
        <v>51</v>
      </c>
      <c r="C58" s="23" t="s">
        <v>19</v>
      </c>
      <c r="D58" s="20" t="s">
        <v>78</v>
      </c>
      <c r="E58" s="20" t="s">
        <v>205</v>
      </c>
      <c r="F58" s="20" t="s">
        <v>301</v>
      </c>
      <c r="G58" s="20" t="s">
        <v>366</v>
      </c>
      <c r="H58" s="20" t="s">
        <v>454</v>
      </c>
      <c r="I58" s="14" t="s">
        <v>672</v>
      </c>
      <c r="J58" s="20" t="s">
        <v>516</v>
      </c>
      <c r="K58" s="14" t="s">
        <v>672</v>
      </c>
      <c r="L58" s="20">
        <v>1</v>
      </c>
      <c r="M58" s="14">
        <f t="shared" si="1"/>
        <v>10</v>
      </c>
      <c r="N58" s="20" t="s">
        <v>787</v>
      </c>
      <c r="O58" s="54" t="s">
        <v>701</v>
      </c>
      <c r="P58" s="21" t="s">
        <v>739</v>
      </c>
      <c r="Q58" s="21">
        <f t="shared" ref="Q58" si="24">P58*N58</f>
        <v>0.71599999999999997</v>
      </c>
      <c r="R58" s="20"/>
    </row>
    <row r="59" spans="1:18" ht="24">
      <c r="A59" s="1"/>
      <c r="B59" s="16">
        <f>ROW(B59) - ROW($B$7)</f>
        <v>52</v>
      </c>
      <c r="C59" s="22" t="s">
        <v>19</v>
      </c>
      <c r="D59" s="14" t="s">
        <v>79</v>
      </c>
      <c r="E59" s="14" t="s">
        <v>206</v>
      </c>
      <c r="F59" s="14" t="s">
        <v>299</v>
      </c>
      <c r="G59" s="14" t="s">
        <v>367</v>
      </c>
      <c r="H59" s="14" t="s">
        <v>453</v>
      </c>
      <c r="I59" s="14" t="s">
        <v>672</v>
      </c>
      <c r="J59" s="14" t="s">
        <v>517</v>
      </c>
      <c r="K59" s="14" t="s">
        <v>672</v>
      </c>
      <c r="L59" s="14">
        <v>1</v>
      </c>
      <c r="M59" s="14">
        <f t="shared" si="1"/>
        <v>10</v>
      </c>
      <c r="N59" s="14" t="s">
        <v>787</v>
      </c>
      <c r="O59" s="54" t="s">
        <v>701</v>
      </c>
      <c r="P59" s="15" t="s">
        <v>740</v>
      </c>
      <c r="Q59" s="15">
        <f>P59*N59</f>
        <v>0.46199999999999997</v>
      </c>
      <c r="R59" s="14"/>
    </row>
    <row r="60" spans="1:18" ht="36">
      <c r="A60" s="1"/>
      <c r="B60" s="17">
        <f t="shared" si="0"/>
        <v>53</v>
      </c>
      <c r="C60" s="23" t="s">
        <v>20</v>
      </c>
      <c r="D60" s="20" t="s">
        <v>80</v>
      </c>
      <c r="E60" s="20" t="s">
        <v>207</v>
      </c>
      <c r="F60" s="20" t="s">
        <v>302</v>
      </c>
      <c r="G60" s="20" t="s">
        <v>302</v>
      </c>
      <c r="H60" s="20" t="s">
        <v>455</v>
      </c>
      <c r="I60" s="14" t="s">
        <v>672</v>
      </c>
      <c r="J60" s="20" t="s">
        <v>518</v>
      </c>
      <c r="K60" s="14" t="s">
        <v>672</v>
      </c>
      <c r="L60" s="20">
        <v>1</v>
      </c>
      <c r="M60" s="14">
        <f t="shared" si="1"/>
        <v>10</v>
      </c>
      <c r="N60" s="20">
        <v>11</v>
      </c>
      <c r="O60" s="54" t="s">
        <v>701</v>
      </c>
      <c r="P60" s="21" t="s">
        <v>741</v>
      </c>
      <c r="Q60" s="21">
        <f t="shared" ref="Q60" si="25">P60*N60</f>
        <v>3.9633000000000003</v>
      </c>
      <c r="R60" s="20"/>
    </row>
    <row r="61" spans="1:18">
      <c r="A61" s="1"/>
      <c r="B61" s="16">
        <f>ROW(B61) - ROW($B$7)</f>
        <v>54</v>
      </c>
      <c r="C61" s="22" t="s">
        <v>21</v>
      </c>
      <c r="D61" s="14" t="s">
        <v>81</v>
      </c>
      <c r="E61" s="14" t="s">
        <v>208</v>
      </c>
      <c r="F61" s="14" t="s">
        <v>303</v>
      </c>
      <c r="G61" s="14" t="s">
        <v>368</v>
      </c>
      <c r="H61" s="14" t="s">
        <v>442</v>
      </c>
      <c r="I61" s="14" t="s">
        <v>672</v>
      </c>
      <c r="J61" s="14" t="s">
        <v>519</v>
      </c>
      <c r="K61" s="14" t="s">
        <v>672</v>
      </c>
      <c r="L61" s="14">
        <v>1</v>
      </c>
      <c r="M61" s="14">
        <f t="shared" si="1"/>
        <v>10</v>
      </c>
      <c r="N61" s="14" t="s">
        <v>787</v>
      </c>
      <c r="O61" s="54" t="s">
        <v>701</v>
      </c>
      <c r="P61" s="15" t="s">
        <v>742</v>
      </c>
      <c r="Q61" s="15">
        <f>P61*N61</f>
        <v>0.38600000000000001</v>
      </c>
      <c r="R61" s="14"/>
    </row>
    <row r="62" spans="1:18">
      <c r="A62" s="1"/>
      <c r="B62" s="17">
        <f t="shared" si="0"/>
        <v>55</v>
      </c>
      <c r="C62" s="23" t="s">
        <v>21</v>
      </c>
      <c r="D62" s="20" t="s">
        <v>82</v>
      </c>
      <c r="E62" s="20" t="s">
        <v>209</v>
      </c>
      <c r="F62" s="20" t="s">
        <v>304</v>
      </c>
      <c r="G62" s="20" t="s">
        <v>369</v>
      </c>
      <c r="H62" s="20" t="s">
        <v>456</v>
      </c>
      <c r="I62" s="14" t="s">
        <v>672</v>
      </c>
      <c r="J62" s="20" t="s">
        <v>520</v>
      </c>
      <c r="K62" s="14" t="s">
        <v>672</v>
      </c>
      <c r="L62" s="20">
        <v>6</v>
      </c>
      <c r="M62" s="14">
        <f t="shared" si="1"/>
        <v>60</v>
      </c>
      <c r="N62" s="20">
        <v>80</v>
      </c>
      <c r="O62" s="54" t="s">
        <v>701</v>
      </c>
      <c r="P62" s="21" t="s">
        <v>743</v>
      </c>
      <c r="Q62" s="21">
        <f t="shared" ref="Q62" si="26">P62*N62</f>
        <v>1.704</v>
      </c>
      <c r="R62" s="20"/>
    </row>
    <row r="63" spans="1:18">
      <c r="A63" s="1"/>
      <c r="B63" s="16">
        <f>ROW(B63) - ROW($B$7)</f>
        <v>56</v>
      </c>
      <c r="C63" s="22" t="s">
        <v>22</v>
      </c>
      <c r="D63" s="14" t="s">
        <v>83</v>
      </c>
      <c r="E63" s="14" t="s">
        <v>210</v>
      </c>
      <c r="F63" s="14" t="s">
        <v>305</v>
      </c>
      <c r="G63" s="14" t="s">
        <v>370</v>
      </c>
      <c r="H63" s="14" t="s">
        <v>438</v>
      </c>
      <c r="I63" s="14" t="s">
        <v>672</v>
      </c>
      <c r="J63" s="14" t="s">
        <v>521</v>
      </c>
      <c r="K63" s="14" t="s">
        <v>613</v>
      </c>
      <c r="L63" s="14">
        <v>7</v>
      </c>
      <c r="M63" s="14">
        <f t="shared" si="1"/>
        <v>70</v>
      </c>
      <c r="N63" s="14" t="s">
        <v>784</v>
      </c>
      <c r="O63" s="54" t="s">
        <v>701</v>
      </c>
      <c r="P63" s="15" t="s">
        <v>744</v>
      </c>
      <c r="Q63" s="15">
        <f>P63*N63</f>
        <v>6.9999999999999993E-2</v>
      </c>
      <c r="R63" s="14"/>
    </row>
    <row r="64" spans="1:18">
      <c r="A64" s="1"/>
      <c r="B64" s="17">
        <f t="shared" si="0"/>
        <v>57</v>
      </c>
      <c r="C64" s="22" t="s">
        <v>22</v>
      </c>
      <c r="D64" s="20" t="s">
        <v>84</v>
      </c>
      <c r="E64" s="20" t="s">
        <v>211</v>
      </c>
      <c r="F64" s="20" t="s">
        <v>305</v>
      </c>
      <c r="G64" s="20" t="s">
        <v>371</v>
      </c>
      <c r="H64" s="20" t="s">
        <v>438</v>
      </c>
      <c r="I64" s="14" t="s">
        <v>672</v>
      </c>
      <c r="J64" s="20" t="s">
        <v>522</v>
      </c>
      <c r="K64" s="20" t="s">
        <v>614</v>
      </c>
      <c r="L64" s="20">
        <v>1</v>
      </c>
      <c r="M64" s="14">
        <f t="shared" si="1"/>
        <v>10</v>
      </c>
      <c r="N64" s="20" t="s">
        <v>784</v>
      </c>
      <c r="O64" s="54" t="s">
        <v>701</v>
      </c>
      <c r="P64" s="21" t="s">
        <v>745</v>
      </c>
      <c r="Q64" s="21">
        <f t="shared" ref="Q64" si="27">P64*N64</f>
        <v>0.13999999999999999</v>
      </c>
      <c r="R64" s="20"/>
    </row>
    <row r="65" spans="1:18">
      <c r="A65" s="1"/>
      <c r="B65" s="16">
        <f>ROW(B65) - ROW($B$7)</f>
        <v>58</v>
      </c>
      <c r="C65" s="22" t="s">
        <v>23</v>
      </c>
      <c r="D65" s="14" t="s">
        <v>85</v>
      </c>
      <c r="E65" s="14" t="s">
        <v>212</v>
      </c>
      <c r="F65" s="14" t="s">
        <v>305</v>
      </c>
      <c r="G65" s="14" t="s">
        <v>372</v>
      </c>
      <c r="H65" s="14" t="s">
        <v>438</v>
      </c>
      <c r="I65" s="14" t="s">
        <v>672</v>
      </c>
      <c r="J65" s="14" t="s">
        <v>523</v>
      </c>
      <c r="K65" s="14" t="s">
        <v>615</v>
      </c>
      <c r="L65" s="14">
        <v>1</v>
      </c>
      <c r="M65" s="14">
        <f t="shared" si="1"/>
        <v>10</v>
      </c>
      <c r="N65" s="14" t="s">
        <v>784</v>
      </c>
      <c r="O65" s="54" t="s">
        <v>701</v>
      </c>
      <c r="P65" s="15" t="s">
        <v>744</v>
      </c>
      <c r="Q65" s="15">
        <f>P65*N65</f>
        <v>6.9999999999999993E-2</v>
      </c>
      <c r="R65" s="14"/>
    </row>
    <row r="66" spans="1:18">
      <c r="A66" s="1"/>
      <c r="B66" s="17">
        <f t="shared" si="0"/>
        <v>59</v>
      </c>
      <c r="C66" s="23" t="s">
        <v>22</v>
      </c>
      <c r="D66" s="20" t="s">
        <v>86</v>
      </c>
      <c r="E66" s="20" t="s">
        <v>213</v>
      </c>
      <c r="F66" s="20" t="s">
        <v>305</v>
      </c>
      <c r="G66" s="20" t="s">
        <v>373</v>
      </c>
      <c r="H66" s="20" t="s">
        <v>438</v>
      </c>
      <c r="I66" s="14" t="s">
        <v>672</v>
      </c>
      <c r="J66" s="20" t="s">
        <v>524</v>
      </c>
      <c r="K66" s="20" t="s">
        <v>616</v>
      </c>
      <c r="L66" s="20">
        <v>1</v>
      </c>
      <c r="M66" s="14">
        <f t="shared" si="1"/>
        <v>10</v>
      </c>
      <c r="N66" s="20" t="s">
        <v>784</v>
      </c>
      <c r="O66" s="54" t="s">
        <v>701</v>
      </c>
      <c r="P66" s="21" t="s">
        <v>746</v>
      </c>
      <c r="Q66" s="21">
        <f t="shared" ref="Q66" si="28">P66*N66</f>
        <v>0.06</v>
      </c>
      <c r="R66" s="20"/>
    </row>
    <row r="67" spans="1:18">
      <c r="A67" s="1"/>
      <c r="B67" s="16">
        <f>ROW(B67) - ROW($B$7)</f>
        <v>60</v>
      </c>
      <c r="C67" s="22" t="s">
        <v>23</v>
      </c>
      <c r="D67" s="14" t="s">
        <v>87</v>
      </c>
      <c r="E67" s="14" t="s">
        <v>214</v>
      </c>
      <c r="F67" s="14" t="s">
        <v>305</v>
      </c>
      <c r="G67" s="14" t="s">
        <v>374</v>
      </c>
      <c r="H67" s="14" t="s">
        <v>438</v>
      </c>
      <c r="I67" s="14" t="s">
        <v>672</v>
      </c>
      <c r="J67" s="14" t="s">
        <v>525</v>
      </c>
      <c r="K67" s="14" t="s">
        <v>617</v>
      </c>
      <c r="L67" s="14">
        <v>1</v>
      </c>
      <c r="M67" s="14">
        <f t="shared" si="1"/>
        <v>10</v>
      </c>
      <c r="N67" s="14" t="s">
        <v>787</v>
      </c>
      <c r="O67" s="54" t="s">
        <v>701</v>
      </c>
      <c r="P67" s="15" t="s">
        <v>740</v>
      </c>
      <c r="Q67" s="15">
        <f>P67*N67</f>
        <v>0.46199999999999997</v>
      </c>
      <c r="R67" s="14"/>
    </row>
    <row r="68" spans="1:18">
      <c r="A68" s="1"/>
      <c r="B68" s="17">
        <f t="shared" si="0"/>
        <v>61</v>
      </c>
      <c r="C68" s="23" t="s">
        <v>22</v>
      </c>
      <c r="D68" s="20" t="s">
        <v>88</v>
      </c>
      <c r="E68" s="20" t="s">
        <v>215</v>
      </c>
      <c r="F68" s="20" t="s">
        <v>306</v>
      </c>
      <c r="G68" s="20" t="s">
        <v>375</v>
      </c>
      <c r="H68" s="20" t="s">
        <v>438</v>
      </c>
      <c r="I68" s="14" t="s">
        <v>672</v>
      </c>
      <c r="J68" s="20" t="s">
        <v>526</v>
      </c>
      <c r="K68" s="20" t="s">
        <v>618</v>
      </c>
      <c r="L68" s="20">
        <v>1</v>
      </c>
      <c r="M68" s="14">
        <f t="shared" si="1"/>
        <v>10</v>
      </c>
      <c r="N68" s="20" t="s">
        <v>784</v>
      </c>
      <c r="O68" s="54" t="s">
        <v>701</v>
      </c>
      <c r="P68" s="21" t="s">
        <v>747</v>
      </c>
      <c r="Q68" s="21">
        <f t="shared" ref="Q68" si="29">P68*N68</f>
        <v>0.12</v>
      </c>
      <c r="R68" s="20"/>
    </row>
    <row r="69" spans="1:18">
      <c r="A69" s="1"/>
      <c r="B69" s="16">
        <f>ROW(B69) - ROW($B$7)</f>
        <v>62</v>
      </c>
      <c r="C69" s="22" t="s">
        <v>23</v>
      </c>
      <c r="D69" s="14" t="s">
        <v>89</v>
      </c>
      <c r="E69" s="14" t="s">
        <v>216</v>
      </c>
      <c r="F69" s="14" t="s">
        <v>305</v>
      </c>
      <c r="G69" s="14" t="s">
        <v>376</v>
      </c>
      <c r="H69" s="14" t="s">
        <v>438</v>
      </c>
      <c r="I69" s="14" t="s">
        <v>672</v>
      </c>
      <c r="J69" s="14" t="s">
        <v>527</v>
      </c>
      <c r="K69" s="14" t="s">
        <v>619</v>
      </c>
      <c r="L69" s="14">
        <v>1</v>
      </c>
      <c r="M69" s="14">
        <f t="shared" si="1"/>
        <v>10</v>
      </c>
      <c r="N69" s="14" t="s">
        <v>787</v>
      </c>
      <c r="O69" s="54" t="s">
        <v>701</v>
      </c>
      <c r="P69" s="15" t="s">
        <v>748</v>
      </c>
      <c r="Q69" s="15">
        <f>P69*N69</f>
        <v>0.45600000000000002</v>
      </c>
      <c r="R69" s="14"/>
    </row>
    <row r="70" spans="1:18">
      <c r="A70" s="1"/>
      <c r="B70" s="17">
        <f t="shared" si="0"/>
        <v>63</v>
      </c>
      <c r="C70" s="23" t="s">
        <v>22</v>
      </c>
      <c r="D70" s="20" t="s">
        <v>90</v>
      </c>
      <c r="E70" s="20" t="s">
        <v>217</v>
      </c>
      <c r="F70" s="20" t="s">
        <v>305</v>
      </c>
      <c r="G70" s="20" t="s">
        <v>377</v>
      </c>
      <c r="H70" s="20" t="s">
        <v>438</v>
      </c>
      <c r="I70" s="14" t="s">
        <v>672</v>
      </c>
      <c r="J70" s="20" t="s">
        <v>527</v>
      </c>
      <c r="K70" s="20" t="s">
        <v>620</v>
      </c>
      <c r="L70" s="20">
        <v>1</v>
      </c>
      <c r="M70" s="14">
        <f t="shared" ref="M70:M132" si="30">L70*10</f>
        <v>10</v>
      </c>
      <c r="N70" s="20" t="s">
        <v>787</v>
      </c>
      <c r="O70" s="54" t="s">
        <v>701</v>
      </c>
      <c r="P70" s="21" t="s">
        <v>748</v>
      </c>
      <c r="Q70" s="21">
        <f t="shared" ref="Q70" si="31">P70*N70</f>
        <v>0.45600000000000002</v>
      </c>
      <c r="R70" s="20"/>
    </row>
    <row r="71" spans="1:18">
      <c r="A71" s="1"/>
      <c r="B71" s="16">
        <f>ROW(B71) - ROW($B$7)</f>
        <v>64</v>
      </c>
      <c r="C71" s="22" t="s">
        <v>22</v>
      </c>
      <c r="D71" s="14" t="s">
        <v>91</v>
      </c>
      <c r="E71" s="14" t="s">
        <v>218</v>
      </c>
      <c r="F71" s="14" t="s">
        <v>305</v>
      </c>
      <c r="G71" s="14" t="s">
        <v>378</v>
      </c>
      <c r="H71" s="14" t="s">
        <v>438</v>
      </c>
      <c r="I71" s="14" t="s">
        <v>672</v>
      </c>
      <c r="J71" s="14" t="s">
        <v>528</v>
      </c>
      <c r="K71" s="14" t="s">
        <v>616</v>
      </c>
      <c r="L71" s="14">
        <v>1</v>
      </c>
      <c r="M71" s="14">
        <f t="shared" si="30"/>
        <v>10</v>
      </c>
      <c r="N71" s="14" t="s">
        <v>786</v>
      </c>
      <c r="O71" s="54" t="s">
        <v>701</v>
      </c>
      <c r="P71" s="15" t="s">
        <v>749</v>
      </c>
      <c r="Q71" s="15">
        <f>P71*N71</f>
        <v>0.84499999999999997</v>
      </c>
      <c r="R71" s="14"/>
    </row>
    <row r="72" spans="1:18">
      <c r="A72" s="1"/>
      <c r="B72" s="17">
        <f t="shared" si="0"/>
        <v>65</v>
      </c>
      <c r="C72" s="23" t="s">
        <v>22</v>
      </c>
      <c r="D72" s="20" t="s">
        <v>92</v>
      </c>
      <c r="E72" s="20" t="s">
        <v>219</v>
      </c>
      <c r="F72" s="20" t="s">
        <v>305</v>
      </c>
      <c r="G72" s="20" t="s">
        <v>379</v>
      </c>
      <c r="H72" s="20" t="s">
        <v>438</v>
      </c>
      <c r="I72" s="14" t="s">
        <v>672</v>
      </c>
      <c r="J72" s="20" t="s">
        <v>529</v>
      </c>
      <c r="K72" s="20" t="s">
        <v>621</v>
      </c>
      <c r="L72" s="20">
        <v>1</v>
      </c>
      <c r="M72" s="14">
        <f t="shared" si="30"/>
        <v>10</v>
      </c>
      <c r="N72" s="20" t="s">
        <v>786</v>
      </c>
      <c r="O72" s="54" t="s">
        <v>701</v>
      </c>
      <c r="P72" s="21" t="s">
        <v>750</v>
      </c>
      <c r="Q72" s="21">
        <f t="shared" ref="Q72" si="32">P72*N72</f>
        <v>0.88</v>
      </c>
      <c r="R72" s="20"/>
    </row>
    <row r="73" spans="1:18">
      <c r="A73" s="1"/>
      <c r="B73" s="16">
        <f>ROW(B73) - ROW($B$7)</f>
        <v>66</v>
      </c>
      <c r="C73" s="22" t="s">
        <v>22</v>
      </c>
      <c r="D73" s="14" t="s">
        <v>93</v>
      </c>
      <c r="E73" s="14" t="s">
        <v>220</v>
      </c>
      <c r="F73" s="14" t="s">
        <v>305</v>
      </c>
      <c r="G73" s="14" t="s">
        <v>380</v>
      </c>
      <c r="H73" s="14" t="s">
        <v>438</v>
      </c>
      <c r="I73" s="14" t="s">
        <v>672</v>
      </c>
      <c r="J73" s="14" t="s">
        <v>530</v>
      </c>
      <c r="K73" s="14" t="s">
        <v>622</v>
      </c>
      <c r="L73" s="14">
        <v>1</v>
      </c>
      <c r="M73" s="14">
        <f t="shared" si="30"/>
        <v>10</v>
      </c>
      <c r="N73" s="14" t="s">
        <v>784</v>
      </c>
      <c r="O73" s="54" t="s">
        <v>701</v>
      </c>
      <c r="P73" s="15" t="s">
        <v>746</v>
      </c>
      <c r="Q73" s="15">
        <f>P73*N73</f>
        <v>0.06</v>
      </c>
      <c r="R73" s="14"/>
    </row>
    <row r="74" spans="1:18">
      <c r="A74" s="1"/>
      <c r="B74" s="17">
        <f t="shared" si="0"/>
        <v>67</v>
      </c>
      <c r="C74" s="23" t="s">
        <v>22</v>
      </c>
      <c r="D74" s="20" t="s">
        <v>670</v>
      </c>
      <c r="E74" s="20" t="s">
        <v>221</v>
      </c>
      <c r="F74" s="20" t="s">
        <v>305</v>
      </c>
      <c r="G74" s="20" t="s">
        <v>381</v>
      </c>
      <c r="H74" s="20" t="s">
        <v>438</v>
      </c>
      <c r="I74" s="14" t="s">
        <v>672</v>
      </c>
      <c r="J74" s="20" t="s">
        <v>531</v>
      </c>
      <c r="K74" s="20" t="s">
        <v>623</v>
      </c>
      <c r="L74" s="20">
        <v>6</v>
      </c>
      <c r="M74" s="14">
        <f t="shared" si="30"/>
        <v>60</v>
      </c>
      <c r="N74" s="20" t="s">
        <v>784</v>
      </c>
      <c r="O74" s="54" t="s">
        <v>701</v>
      </c>
      <c r="P74" s="21" t="s">
        <v>744</v>
      </c>
      <c r="Q74" s="21">
        <f t="shared" ref="Q74" si="33">P74*N74</f>
        <v>6.9999999999999993E-2</v>
      </c>
      <c r="R74" s="20"/>
    </row>
    <row r="75" spans="1:18">
      <c r="A75" s="1"/>
      <c r="B75" s="16">
        <f>ROW(B75) - ROW($B$7)</f>
        <v>68</v>
      </c>
      <c r="C75" s="22" t="s">
        <v>22</v>
      </c>
      <c r="D75" s="14" t="s">
        <v>94</v>
      </c>
      <c r="E75" s="14" t="s">
        <v>222</v>
      </c>
      <c r="F75" s="14" t="s">
        <v>306</v>
      </c>
      <c r="G75" s="14" t="s">
        <v>382</v>
      </c>
      <c r="H75" s="14" t="s">
        <v>438</v>
      </c>
      <c r="I75" s="14" t="s">
        <v>672</v>
      </c>
      <c r="J75" s="14" t="s">
        <v>532</v>
      </c>
      <c r="K75" s="14" t="s">
        <v>624</v>
      </c>
      <c r="L75" s="14">
        <v>1</v>
      </c>
      <c r="M75" s="14">
        <f t="shared" si="30"/>
        <v>10</v>
      </c>
      <c r="N75" s="14" t="s">
        <v>784</v>
      </c>
      <c r="O75" s="54" t="s">
        <v>701</v>
      </c>
      <c r="P75" s="15" t="s">
        <v>747</v>
      </c>
      <c r="Q75" s="15">
        <f>P75*N75</f>
        <v>0.12</v>
      </c>
      <c r="R75" s="14"/>
    </row>
    <row r="76" spans="1:18" ht="36">
      <c r="A76" s="1"/>
      <c r="B76" s="17">
        <f t="shared" si="0"/>
        <v>69</v>
      </c>
      <c r="C76" s="23" t="s">
        <v>23</v>
      </c>
      <c r="D76" s="20" t="s">
        <v>95</v>
      </c>
      <c r="E76" s="20" t="s">
        <v>223</v>
      </c>
      <c r="F76" s="20" t="s">
        <v>305</v>
      </c>
      <c r="G76" s="20" t="s">
        <v>383</v>
      </c>
      <c r="H76" s="20" t="s">
        <v>438</v>
      </c>
      <c r="I76" s="14" t="s">
        <v>672</v>
      </c>
      <c r="J76" s="20" t="s">
        <v>533</v>
      </c>
      <c r="K76" s="20" t="s">
        <v>625</v>
      </c>
      <c r="L76" s="20">
        <v>19</v>
      </c>
      <c r="M76" s="14">
        <f t="shared" si="30"/>
        <v>190</v>
      </c>
      <c r="N76" s="20" t="s">
        <v>791</v>
      </c>
      <c r="O76" s="54" t="s">
        <v>701</v>
      </c>
      <c r="P76" s="21" t="s">
        <v>744</v>
      </c>
      <c r="Q76" s="21">
        <f t="shared" ref="Q76" si="34">P76*N76</f>
        <v>0.13999999999999999</v>
      </c>
      <c r="R76" s="20"/>
    </row>
    <row r="77" spans="1:18">
      <c r="A77" s="1"/>
      <c r="B77" s="16">
        <f>ROW(B77) - ROW($B$7)</f>
        <v>70</v>
      </c>
      <c r="C77" s="22" t="s">
        <v>22</v>
      </c>
      <c r="D77" s="14" t="s">
        <v>96</v>
      </c>
      <c r="E77" s="14" t="s">
        <v>224</v>
      </c>
      <c r="F77" s="14" t="s">
        <v>305</v>
      </c>
      <c r="G77" s="14" t="s">
        <v>384</v>
      </c>
      <c r="H77" s="14" t="s">
        <v>438</v>
      </c>
      <c r="I77" s="14" t="s">
        <v>672</v>
      </c>
      <c r="J77" s="14" t="s">
        <v>534</v>
      </c>
      <c r="K77" s="14" t="s">
        <v>626</v>
      </c>
      <c r="L77" s="14">
        <v>2</v>
      </c>
      <c r="M77" s="14">
        <f t="shared" si="30"/>
        <v>20</v>
      </c>
      <c r="N77" s="14" t="s">
        <v>784</v>
      </c>
      <c r="O77" s="54" t="s">
        <v>701</v>
      </c>
      <c r="P77" s="15" t="s">
        <v>744</v>
      </c>
      <c r="Q77" s="15">
        <f>P77*N77</f>
        <v>6.9999999999999993E-2</v>
      </c>
      <c r="R77" s="14"/>
    </row>
    <row r="78" spans="1:18">
      <c r="A78" s="1"/>
      <c r="B78" s="17">
        <f t="shared" si="0"/>
        <v>71</v>
      </c>
      <c r="C78" s="23" t="s">
        <v>23</v>
      </c>
      <c r="D78" s="20" t="s">
        <v>97</v>
      </c>
      <c r="E78" s="20" t="s">
        <v>225</v>
      </c>
      <c r="F78" s="20" t="s">
        <v>305</v>
      </c>
      <c r="G78" s="20" t="s">
        <v>385</v>
      </c>
      <c r="H78" s="20" t="s">
        <v>438</v>
      </c>
      <c r="I78" s="14" t="s">
        <v>672</v>
      </c>
      <c r="J78" s="20" t="s">
        <v>535</v>
      </c>
      <c r="K78" s="20" t="s">
        <v>627</v>
      </c>
      <c r="L78" s="20">
        <v>1</v>
      </c>
      <c r="M78" s="14">
        <f t="shared" si="30"/>
        <v>10</v>
      </c>
      <c r="N78" s="20" t="s">
        <v>784</v>
      </c>
      <c r="O78" s="54" t="s">
        <v>701</v>
      </c>
      <c r="P78" s="21" t="s">
        <v>744</v>
      </c>
      <c r="Q78" s="21">
        <f t="shared" ref="Q78" si="35">P78*N78</f>
        <v>6.9999999999999993E-2</v>
      </c>
      <c r="R78" s="20"/>
    </row>
    <row r="79" spans="1:18">
      <c r="A79" s="1"/>
      <c r="B79" s="16">
        <f>ROW(B79) - ROW($B$7)</f>
        <v>72</v>
      </c>
      <c r="C79" s="22" t="s">
        <v>22</v>
      </c>
      <c r="D79" s="14" t="s">
        <v>98</v>
      </c>
      <c r="E79" s="14" t="s">
        <v>226</v>
      </c>
      <c r="F79" s="14" t="s">
        <v>305</v>
      </c>
      <c r="G79" s="14" t="s">
        <v>386</v>
      </c>
      <c r="H79" s="14" t="s">
        <v>438</v>
      </c>
      <c r="I79" s="14" t="s">
        <v>672</v>
      </c>
      <c r="J79" s="14" t="s">
        <v>536</v>
      </c>
      <c r="K79" s="14" t="s">
        <v>628</v>
      </c>
      <c r="L79" s="14">
        <v>1</v>
      </c>
      <c r="M79" s="14">
        <f t="shared" si="30"/>
        <v>10</v>
      </c>
      <c r="N79" s="14" t="s">
        <v>784</v>
      </c>
      <c r="O79" s="54" t="s">
        <v>701</v>
      </c>
      <c r="P79" s="15" t="s">
        <v>744</v>
      </c>
      <c r="Q79" s="15">
        <f>P79*N79</f>
        <v>6.9999999999999993E-2</v>
      </c>
      <c r="R79" s="14"/>
    </row>
    <row r="80" spans="1:18" ht="24">
      <c r="A80" s="1"/>
      <c r="B80" s="17">
        <f t="shared" si="0"/>
        <v>73</v>
      </c>
      <c r="C80" s="23" t="s">
        <v>22</v>
      </c>
      <c r="D80" s="20" t="s">
        <v>99</v>
      </c>
      <c r="E80" s="20" t="s">
        <v>227</v>
      </c>
      <c r="F80" s="20" t="s">
        <v>306</v>
      </c>
      <c r="G80" s="20" t="s">
        <v>387</v>
      </c>
      <c r="H80" s="20" t="s">
        <v>438</v>
      </c>
      <c r="I80" s="14" t="s">
        <v>672</v>
      </c>
      <c r="J80" s="20" t="s">
        <v>537</v>
      </c>
      <c r="K80" s="20" t="s">
        <v>625</v>
      </c>
      <c r="L80" s="20">
        <v>10</v>
      </c>
      <c r="M80" s="14">
        <f t="shared" si="30"/>
        <v>100</v>
      </c>
      <c r="N80" s="20">
        <v>200</v>
      </c>
      <c r="O80" s="54" t="s">
        <v>701</v>
      </c>
      <c r="P80" s="21" t="s">
        <v>721</v>
      </c>
      <c r="Q80" s="21">
        <f t="shared" ref="Q80" si="36">P80*N80</f>
        <v>0.22</v>
      </c>
      <c r="R80" s="20"/>
    </row>
    <row r="81" spans="1:18">
      <c r="A81" s="1"/>
      <c r="B81" s="16">
        <f>ROW(B81) - ROW($B$7)</f>
        <v>74</v>
      </c>
      <c r="C81" s="22" t="s">
        <v>23</v>
      </c>
      <c r="D81" s="14" t="s">
        <v>100</v>
      </c>
      <c r="E81" s="14" t="s">
        <v>228</v>
      </c>
      <c r="F81" s="14" t="s">
        <v>306</v>
      </c>
      <c r="G81" s="14" t="s">
        <v>388</v>
      </c>
      <c r="H81" s="14" t="s">
        <v>438</v>
      </c>
      <c r="I81" s="14" t="s">
        <v>672</v>
      </c>
      <c r="J81" s="14" t="s">
        <v>538</v>
      </c>
      <c r="K81" s="14" t="s">
        <v>629</v>
      </c>
      <c r="L81" s="14">
        <v>1</v>
      </c>
      <c r="M81" s="14">
        <f t="shared" si="30"/>
        <v>10</v>
      </c>
      <c r="N81" s="14" t="s">
        <v>787</v>
      </c>
      <c r="O81" s="54" t="s">
        <v>701</v>
      </c>
      <c r="P81" s="15" t="s">
        <v>751</v>
      </c>
      <c r="Q81" s="15">
        <f>P81*N81</f>
        <v>0.498</v>
      </c>
      <c r="R81" s="14"/>
    </row>
    <row r="82" spans="1:18">
      <c r="A82" s="1"/>
      <c r="B82" s="17">
        <f t="shared" si="0"/>
        <v>75</v>
      </c>
      <c r="C82" s="23" t="s">
        <v>22</v>
      </c>
      <c r="D82" s="20" t="s">
        <v>101</v>
      </c>
      <c r="E82" s="20" t="s">
        <v>229</v>
      </c>
      <c r="F82" s="20" t="s">
        <v>306</v>
      </c>
      <c r="G82" s="20" t="s">
        <v>389</v>
      </c>
      <c r="H82" s="20" t="s">
        <v>438</v>
      </c>
      <c r="I82" s="14" t="s">
        <v>672</v>
      </c>
      <c r="J82" s="20" t="s">
        <v>539</v>
      </c>
      <c r="K82" s="20" t="s">
        <v>630</v>
      </c>
      <c r="L82" s="20">
        <v>1</v>
      </c>
      <c r="M82" s="14">
        <f t="shared" si="30"/>
        <v>10</v>
      </c>
      <c r="N82" s="20" t="s">
        <v>784</v>
      </c>
      <c r="O82" s="54" t="s">
        <v>701</v>
      </c>
      <c r="P82" s="21" t="s">
        <v>752</v>
      </c>
      <c r="Q82" s="21">
        <f t="shared" ref="Q82" si="37">P82*N82</f>
        <v>0.13</v>
      </c>
      <c r="R82" s="20"/>
    </row>
    <row r="83" spans="1:18">
      <c r="A83" s="1"/>
      <c r="B83" s="16">
        <f>ROW(B83) - ROW($B$7)</f>
        <v>76</v>
      </c>
      <c r="C83" s="22" t="s">
        <v>23</v>
      </c>
      <c r="D83" s="14" t="s">
        <v>102</v>
      </c>
      <c r="E83" s="14" t="s">
        <v>230</v>
      </c>
      <c r="F83" s="14" t="s">
        <v>306</v>
      </c>
      <c r="G83" s="14" t="s">
        <v>390</v>
      </c>
      <c r="H83" s="14" t="s">
        <v>438</v>
      </c>
      <c r="I83" s="14" t="s">
        <v>672</v>
      </c>
      <c r="J83" s="14" t="s">
        <v>540</v>
      </c>
      <c r="K83" s="14" t="s">
        <v>631</v>
      </c>
      <c r="L83" s="14">
        <v>1</v>
      </c>
      <c r="M83" s="14">
        <f t="shared" si="30"/>
        <v>10</v>
      </c>
      <c r="N83" s="14" t="s">
        <v>787</v>
      </c>
      <c r="O83" s="54" t="s">
        <v>701</v>
      </c>
      <c r="P83" s="15" t="s">
        <v>753</v>
      </c>
      <c r="Q83" s="15">
        <f>P83*N83</f>
        <v>0.502</v>
      </c>
      <c r="R83" s="14"/>
    </row>
    <row r="84" spans="1:18">
      <c r="A84" s="1"/>
      <c r="B84" s="17">
        <f t="shared" si="0"/>
        <v>77</v>
      </c>
      <c r="C84" s="23" t="s">
        <v>23</v>
      </c>
      <c r="D84" s="20" t="s">
        <v>103</v>
      </c>
      <c r="E84" s="20" t="s">
        <v>231</v>
      </c>
      <c r="F84" s="20" t="s">
        <v>306</v>
      </c>
      <c r="G84" s="20" t="s">
        <v>391</v>
      </c>
      <c r="H84" s="20" t="s">
        <v>438</v>
      </c>
      <c r="I84" s="14" t="s">
        <v>672</v>
      </c>
      <c r="J84" s="20" t="s">
        <v>541</v>
      </c>
      <c r="K84" s="20" t="s">
        <v>632</v>
      </c>
      <c r="L84" s="20">
        <v>1</v>
      </c>
      <c r="M84" s="14">
        <f t="shared" si="30"/>
        <v>10</v>
      </c>
      <c r="N84" s="20" t="s">
        <v>787</v>
      </c>
      <c r="O84" s="54" t="s">
        <v>701</v>
      </c>
      <c r="P84" s="21" t="s">
        <v>725</v>
      </c>
      <c r="Q84" s="21">
        <f t="shared" ref="Q84" si="38">P84*N84</f>
        <v>0.46600000000000003</v>
      </c>
      <c r="R84" s="20"/>
    </row>
    <row r="85" spans="1:18">
      <c r="A85" s="1"/>
      <c r="B85" s="16">
        <f>ROW(B85) - ROW($B$7)</f>
        <v>78</v>
      </c>
      <c r="C85" s="22" t="s">
        <v>23</v>
      </c>
      <c r="D85" s="14" t="s">
        <v>104</v>
      </c>
      <c r="E85" s="14" t="s">
        <v>232</v>
      </c>
      <c r="F85" s="14" t="s">
        <v>306</v>
      </c>
      <c r="G85" s="14" t="s">
        <v>392</v>
      </c>
      <c r="H85" s="14" t="s">
        <v>438</v>
      </c>
      <c r="I85" s="14" t="s">
        <v>672</v>
      </c>
      <c r="J85" s="14" t="s">
        <v>542</v>
      </c>
      <c r="K85" s="14" t="s">
        <v>633</v>
      </c>
      <c r="L85" s="14">
        <v>1</v>
      </c>
      <c r="M85" s="14">
        <f t="shared" si="30"/>
        <v>10</v>
      </c>
      <c r="N85" s="14" t="s">
        <v>787</v>
      </c>
      <c r="O85" s="54" t="s">
        <v>701</v>
      </c>
      <c r="P85" s="15" t="s">
        <v>754</v>
      </c>
      <c r="Q85" s="15">
        <f>P85*N85</f>
        <v>0.48</v>
      </c>
      <c r="R85" s="14"/>
    </row>
    <row r="86" spans="1:18" ht="24">
      <c r="A86" s="1"/>
      <c r="B86" s="17">
        <f t="shared" si="0"/>
        <v>79</v>
      </c>
      <c r="C86" s="23" t="s">
        <v>22</v>
      </c>
      <c r="D86" s="20" t="s">
        <v>105</v>
      </c>
      <c r="E86" s="20" t="s">
        <v>233</v>
      </c>
      <c r="F86" s="20" t="s">
        <v>306</v>
      </c>
      <c r="G86" s="20" t="s">
        <v>393</v>
      </c>
      <c r="H86" s="20" t="s">
        <v>438</v>
      </c>
      <c r="I86" s="14" t="s">
        <v>672</v>
      </c>
      <c r="J86" s="20" t="s">
        <v>543</v>
      </c>
      <c r="K86" s="20" t="s">
        <v>616</v>
      </c>
      <c r="L86" s="20">
        <v>8</v>
      </c>
      <c r="M86" s="14">
        <f t="shared" si="30"/>
        <v>80</v>
      </c>
      <c r="N86" s="20" t="s">
        <v>784</v>
      </c>
      <c r="O86" s="54" t="s">
        <v>701</v>
      </c>
      <c r="P86" s="21" t="s">
        <v>721</v>
      </c>
      <c r="Q86" s="21">
        <f t="shared" ref="Q86" si="39">P86*N86</f>
        <v>0.11</v>
      </c>
      <c r="R86" s="20"/>
    </row>
    <row r="87" spans="1:18">
      <c r="A87" s="1"/>
      <c r="B87" s="16">
        <f>ROW(B87) - ROW($B$7)</f>
        <v>80</v>
      </c>
      <c r="C87" s="22" t="s">
        <v>22</v>
      </c>
      <c r="D87" s="14" t="s">
        <v>106</v>
      </c>
      <c r="E87" s="14" t="s">
        <v>234</v>
      </c>
      <c r="F87" s="14" t="s">
        <v>306</v>
      </c>
      <c r="G87" s="14" t="s">
        <v>394</v>
      </c>
      <c r="H87" s="14" t="s">
        <v>438</v>
      </c>
      <c r="I87" s="14" t="s">
        <v>672</v>
      </c>
      <c r="J87" s="14" t="s">
        <v>544</v>
      </c>
      <c r="K87" s="14" t="s">
        <v>634</v>
      </c>
      <c r="L87" s="14">
        <v>4</v>
      </c>
      <c r="M87" s="14">
        <f t="shared" si="30"/>
        <v>40</v>
      </c>
      <c r="N87" s="14" t="s">
        <v>784</v>
      </c>
      <c r="O87" s="54" t="s">
        <v>701</v>
      </c>
      <c r="P87" s="15" t="s">
        <v>752</v>
      </c>
      <c r="Q87" s="15">
        <f>P87*N87</f>
        <v>0.13</v>
      </c>
      <c r="R87" s="14"/>
    </row>
    <row r="88" spans="1:18">
      <c r="A88" s="1"/>
      <c r="B88" s="17">
        <f t="shared" si="0"/>
        <v>81</v>
      </c>
      <c r="C88" s="23" t="s">
        <v>23</v>
      </c>
      <c r="D88" s="20" t="s">
        <v>107</v>
      </c>
      <c r="E88" s="20" t="s">
        <v>235</v>
      </c>
      <c r="F88" s="20" t="s">
        <v>306</v>
      </c>
      <c r="G88" s="20" t="s">
        <v>395</v>
      </c>
      <c r="H88" s="20" t="s">
        <v>438</v>
      </c>
      <c r="I88" s="14" t="s">
        <v>672</v>
      </c>
      <c r="J88" s="20" t="s">
        <v>545</v>
      </c>
      <c r="K88" s="20" t="s">
        <v>621</v>
      </c>
      <c r="L88" s="20">
        <v>5</v>
      </c>
      <c r="M88" s="14">
        <f t="shared" si="30"/>
        <v>50</v>
      </c>
      <c r="N88" s="20" t="s">
        <v>784</v>
      </c>
      <c r="O88" s="54" t="s">
        <v>701</v>
      </c>
      <c r="P88" s="21" t="s">
        <v>755</v>
      </c>
      <c r="Q88" s="21">
        <f t="shared" ref="Q88" si="40">P88*N88</f>
        <v>0.08</v>
      </c>
      <c r="R88" s="20"/>
    </row>
    <row r="89" spans="1:18">
      <c r="A89" s="1"/>
      <c r="B89" s="16">
        <f>ROW(B89) - ROW($B$7)</f>
        <v>82</v>
      </c>
      <c r="C89" s="22" t="s">
        <v>23</v>
      </c>
      <c r="D89" s="14" t="s">
        <v>108</v>
      </c>
      <c r="E89" s="14" t="s">
        <v>236</v>
      </c>
      <c r="F89" s="14" t="s">
        <v>306</v>
      </c>
      <c r="G89" s="14" t="s">
        <v>396</v>
      </c>
      <c r="H89" s="14" t="s">
        <v>438</v>
      </c>
      <c r="I89" s="14" t="s">
        <v>672</v>
      </c>
      <c r="J89" s="14" t="s">
        <v>546</v>
      </c>
      <c r="K89" s="14" t="s">
        <v>635</v>
      </c>
      <c r="L89" s="14">
        <v>1</v>
      </c>
      <c r="M89" s="14">
        <f t="shared" si="30"/>
        <v>10</v>
      </c>
      <c r="N89" s="14" t="s">
        <v>784</v>
      </c>
      <c r="O89" s="54" t="s">
        <v>701</v>
      </c>
      <c r="P89" s="15" t="s">
        <v>752</v>
      </c>
      <c r="Q89" s="15">
        <f>P89*N89</f>
        <v>0.13</v>
      </c>
      <c r="R89" s="14"/>
    </row>
    <row r="90" spans="1:18">
      <c r="A90" s="1"/>
      <c r="B90" s="17">
        <f t="shared" si="0"/>
        <v>83</v>
      </c>
      <c r="C90" s="22" t="s">
        <v>23</v>
      </c>
      <c r="D90" s="20" t="s">
        <v>109</v>
      </c>
      <c r="E90" s="20" t="s">
        <v>237</v>
      </c>
      <c r="F90" s="20" t="s">
        <v>306</v>
      </c>
      <c r="G90" s="20"/>
      <c r="H90" s="20"/>
      <c r="I90" s="14" t="s">
        <v>672</v>
      </c>
      <c r="J90" s="20" t="s">
        <v>547</v>
      </c>
      <c r="K90" s="20" t="s">
        <v>636</v>
      </c>
      <c r="L90" s="20">
        <v>2</v>
      </c>
      <c r="M90" s="14">
        <f t="shared" si="30"/>
        <v>20</v>
      </c>
      <c r="N90" s="20" t="s">
        <v>784</v>
      </c>
      <c r="O90" s="54" t="s">
        <v>701</v>
      </c>
      <c r="P90" s="21" t="s">
        <v>747</v>
      </c>
      <c r="Q90" s="21">
        <f t="shared" ref="Q90" si="41">P90*N90</f>
        <v>0.12</v>
      </c>
      <c r="R90" s="20"/>
    </row>
    <row r="91" spans="1:18">
      <c r="A91" s="1"/>
      <c r="B91" s="16">
        <f>ROW(B91) - ROW($B$7)</f>
        <v>84</v>
      </c>
      <c r="C91" s="22" t="s">
        <v>22</v>
      </c>
      <c r="D91" s="14" t="s">
        <v>110</v>
      </c>
      <c r="E91" s="14" t="s">
        <v>238</v>
      </c>
      <c r="F91" s="14" t="s">
        <v>306</v>
      </c>
      <c r="G91" s="14" t="s">
        <v>397</v>
      </c>
      <c r="H91" s="14" t="s">
        <v>438</v>
      </c>
      <c r="I91" s="14" t="s">
        <v>672</v>
      </c>
      <c r="J91" s="14" t="s">
        <v>548</v>
      </c>
      <c r="K91" s="14" t="s">
        <v>637</v>
      </c>
      <c r="L91" s="14">
        <v>1</v>
      </c>
      <c r="M91" s="14">
        <f t="shared" si="30"/>
        <v>10</v>
      </c>
      <c r="N91" s="14" t="s">
        <v>784</v>
      </c>
      <c r="O91" s="54" t="s">
        <v>701</v>
      </c>
      <c r="P91" s="15" t="s">
        <v>747</v>
      </c>
      <c r="Q91" s="15">
        <f>P91*N91</f>
        <v>0.12</v>
      </c>
      <c r="R91" s="14"/>
    </row>
    <row r="92" spans="1:18">
      <c r="A92" s="1"/>
      <c r="B92" s="17">
        <f t="shared" si="0"/>
        <v>85</v>
      </c>
      <c r="C92" s="23" t="s">
        <v>22</v>
      </c>
      <c r="D92" s="20" t="s">
        <v>111</v>
      </c>
      <c r="E92" s="20" t="s">
        <v>239</v>
      </c>
      <c r="F92" s="20" t="s">
        <v>306</v>
      </c>
      <c r="G92" s="20" t="s">
        <v>398</v>
      </c>
      <c r="H92" s="20" t="s">
        <v>438</v>
      </c>
      <c r="I92" s="14" t="s">
        <v>672</v>
      </c>
      <c r="J92" s="20" t="s">
        <v>549</v>
      </c>
      <c r="K92" s="20" t="s">
        <v>638</v>
      </c>
      <c r="L92" s="20">
        <v>1</v>
      </c>
      <c r="M92" s="14">
        <f t="shared" si="30"/>
        <v>10</v>
      </c>
      <c r="N92" s="20" t="s">
        <v>787</v>
      </c>
      <c r="O92" s="54" t="s">
        <v>701</v>
      </c>
      <c r="P92" s="21" t="s">
        <v>756</v>
      </c>
      <c r="Q92" s="21">
        <f t="shared" ref="Q92" si="42">P92*N92</f>
        <v>0.48599999999999999</v>
      </c>
      <c r="R92" s="20"/>
    </row>
    <row r="93" spans="1:18">
      <c r="A93" s="1"/>
      <c r="B93" s="16">
        <f>ROW(B93) - ROW($B$7)</f>
        <v>86</v>
      </c>
      <c r="C93" s="22" t="s">
        <v>23</v>
      </c>
      <c r="D93" s="14" t="s">
        <v>112</v>
      </c>
      <c r="E93" s="14" t="s">
        <v>240</v>
      </c>
      <c r="F93" s="14" t="s">
        <v>306</v>
      </c>
      <c r="G93" s="14" t="s">
        <v>399</v>
      </c>
      <c r="H93" s="14" t="s">
        <v>438</v>
      </c>
      <c r="I93" s="14" t="s">
        <v>672</v>
      </c>
      <c r="J93" s="14" t="s">
        <v>550</v>
      </c>
      <c r="K93" s="14" t="s">
        <v>639</v>
      </c>
      <c r="L93" s="14">
        <v>1</v>
      </c>
      <c r="M93" s="14">
        <f t="shared" si="30"/>
        <v>10</v>
      </c>
      <c r="N93" s="14" t="s">
        <v>784</v>
      </c>
      <c r="O93" s="54" t="s">
        <v>701</v>
      </c>
      <c r="P93" s="15" t="s">
        <v>752</v>
      </c>
      <c r="Q93" s="15">
        <f>P93*N93</f>
        <v>0.13</v>
      </c>
      <c r="R93" s="14"/>
    </row>
    <row r="94" spans="1:18">
      <c r="A94" s="1"/>
      <c r="B94" s="17">
        <f t="shared" si="0"/>
        <v>87</v>
      </c>
      <c r="C94" s="23" t="s">
        <v>23</v>
      </c>
      <c r="D94" s="20" t="s">
        <v>113</v>
      </c>
      <c r="E94" s="20" t="s">
        <v>241</v>
      </c>
      <c r="F94" s="20" t="s">
        <v>305</v>
      </c>
      <c r="G94" s="20" t="s">
        <v>400</v>
      </c>
      <c r="H94" s="20" t="s">
        <v>438</v>
      </c>
      <c r="I94" s="14" t="s">
        <v>672</v>
      </c>
      <c r="J94" s="20" t="s">
        <v>551</v>
      </c>
      <c r="K94" s="20" t="s">
        <v>640</v>
      </c>
      <c r="L94" s="20">
        <v>1</v>
      </c>
      <c r="M94" s="14">
        <f t="shared" si="30"/>
        <v>10</v>
      </c>
      <c r="N94" s="20" t="s">
        <v>784</v>
      </c>
      <c r="O94" s="54" t="s">
        <v>701</v>
      </c>
      <c r="P94" s="21" t="s">
        <v>744</v>
      </c>
      <c r="Q94" s="21">
        <f t="shared" ref="Q94" si="43">P94*N94</f>
        <v>6.9999999999999993E-2</v>
      </c>
      <c r="R94" s="20"/>
    </row>
    <row r="95" spans="1:18">
      <c r="A95" s="1"/>
      <c r="B95" s="16">
        <f>ROW(B95) - ROW($B$7)</f>
        <v>88</v>
      </c>
      <c r="C95" s="22" t="s">
        <v>23</v>
      </c>
      <c r="D95" s="14" t="s">
        <v>114</v>
      </c>
      <c r="E95" s="14" t="s">
        <v>242</v>
      </c>
      <c r="F95" s="14" t="s">
        <v>305</v>
      </c>
      <c r="G95" s="14" t="s">
        <v>401</v>
      </c>
      <c r="H95" s="14" t="s">
        <v>438</v>
      </c>
      <c r="I95" s="14" t="s">
        <v>672</v>
      </c>
      <c r="J95" s="14" t="s">
        <v>552</v>
      </c>
      <c r="K95" s="14" t="s">
        <v>641</v>
      </c>
      <c r="L95" s="14">
        <v>1</v>
      </c>
      <c r="M95" s="14">
        <f t="shared" si="30"/>
        <v>10</v>
      </c>
      <c r="N95" s="14" t="s">
        <v>784</v>
      </c>
      <c r="O95" s="54" t="s">
        <v>701</v>
      </c>
      <c r="P95" s="15" t="s">
        <v>744</v>
      </c>
      <c r="Q95" s="15">
        <f>P95*N95</f>
        <v>6.9999999999999993E-2</v>
      </c>
      <c r="R95" s="14"/>
    </row>
    <row r="96" spans="1:18">
      <c r="A96" s="1"/>
      <c r="B96" s="17">
        <f t="shared" si="0"/>
        <v>89</v>
      </c>
      <c r="C96" s="23" t="s">
        <v>22</v>
      </c>
      <c r="D96" s="20" t="s">
        <v>115</v>
      </c>
      <c r="E96" s="20" t="s">
        <v>243</v>
      </c>
      <c r="F96" s="20" t="s">
        <v>306</v>
      </c>
      <c r="G96" s="20" t="s">
        <v>402</v>
      </c>
      <c r="H96" s="20" t="s">
        <v>438</v>
      </c>
      <c r="I96" s="14" t="s">
        <v>672</v>
      </c>
      <c r="J96" s="20" t="s">
        <v>553</v>
      </c>
      <c r="K96" s="20" t="s">
        <v>642</v>
      </c>
      <c r="L96" s="20">
        <v>1</v>
      </c>
      <c r="M96" s="14">
        <f t="shared" si="30"/>
        <v>10</v>
      </c>
      <c r="N96" s="20" t="s">
        <v>784</v>
      </c>
      <c r="O96" s="54" t="s">
        <v>701</v>
      </c>
      <c r="P96" s="21" t="s">
        <v>752</v>
      </c>
      <c r="Q96" s="21">
        <f t="shared" ref="Q96" si="44">P96*N96</f>
        <v>0.13</v>
      </c>
      <c r="R96" s="20"/>
    </row>
    <row r="97" spans="1:18">
      <c r="A97" s="1"/>
      <c r="B97" s="16">
        <f>ROW(B97) - ROW($B$7)</f>
        <v>90</v>
      </c>
      <c r="C97" s="22" t="s">
        <v>23</v>
      </c>
      <c r="D97" s="14" t="s">
        <v>116</v>
      </c>
      <c r="E97" s="14" t="s">
        <v>244</v>
      </c>
      <c r="F97" s="14" t="s">
        <v>306</v>
      </c>
      <c r="G97" s="14" t="s">
        <v>403</v>
      </c>
      <c r="H97" s="14" t="s">
        <v>438</v>
      </c>
      <c r="I97" s="14" t="s">
        <v>672</v>
      </c>
      <c r="J97" s="14" t="s">
        <v>554</v>
      </c>
      <c r="K97" s="14" t="s">
        <v>643</v>
      </c>
      <c r="L97" s="14">
        <v>3</v>
      </c>
      <c r="M97" s="14">
        <f t="shared" si="30"/>
        <v>30</v>
      </c>
      <c r="N97" s="14" t="s">
        <v>784</v>
      </c>
      <c r="O97" s="54" t="s">
        <v>701</v>
      </c>
      <c r="P97" s="15" t="s">
        <v>747</v>
      </c>
      <c r="Q97" s="15">
        <f>P97*N97</f>
        <v>0.12</v>
      </c>
      <c r="R97" s="14"/>
    </row>
    <row r="98" spans="1:18">
      <c r="A98" s="1"/>
      <c r="B98" s="17">
        <f t="shared" si="0"/>
        <v>91</v>
      </c>
      <c r="C98" s="23" t="s">
        <v>22</v>
      </c>
      <c r="D98" s="20" t="s">
        <v>117</v>
      </c>
      <c r="E98" s="20" t="s">
        <v>245</v>
      </c>
      <c r="F98" s="20" t="s">
        <v>306</v>
      </c>
      <c r="G98" s="20" t="s">
        <v>404</v>
      </c>
      <c r="H98" s="20" t="s">
        <v>438</v>
      </c>
      <c r="I98" s="14" t="s">
        <v>672</v>
      </c>
      <c r="J98" s="20" t="s">
        <v>555</v>
      </c>
      <c r="K98" s="20" t="s">
        <v>644</v>
      </c>
      <c r="L98" s="20">
        <v>6</v>
      </c>
      <c r="M98" s="14">
        <f t="shared" si="30"/>
        <v>60</v>
      </c>
      <c r="N98" s="20" t="s">
        <v>784</v>
      </c>
      <c r="O98" s="54" t="s">
        <v>701</v>
      </c>
      <c r="P98" s="21" t="s">
        <v>747</v>
      </c>
      <c r="Q98" s="21">
        <f t="shared" ref="Q98" si="45">P98*N98</f>
        <v>0.12</v>
      </c>
      <c r="R98" s="20"/>
    </row>
    <row r="99" spans="1:18">
      <c r="A99" s="1"/>
      <c r="B99" s="16">
        <f>ROW(B99) - ROW($B$7)</f>
        <v>92</v>
      </c>
      <c r="C99" s="22" t="s">
        <v>22</v>
      </c>
      <c r="D99" s="14" t="s">
        <v>118</v>
      </c>
      <c r="E99" s="14" t="s">
        <v>246</v>
      </c>
      <c r="F99" s="14" t="s">
        <v>306</v>
      </c>
      <c r="G99" s="14" t="s">
        <v>405</v>
      </c>
      <c r="H99" s="14" t="s">
        <v>438</v>
      </c>
      <c r="I99" s="14" t="s">
        <v>672</v>
      </c>
      <c r="J99" s="14" t="s">
        <v>556</v>
      </c>
      <c r="K99" s="14" t="s">
        <v>645</v>
      </c>
      <c r="L99" s="14">
        <v>1</v>
      </c>
      <c r="M99" s="14">
        <f t="shared" si="30"/>
        <v>10</v>
      </c>
      <c r="N99" s="14" t="s">
        <v>784</v>
      </c>
      <c r="O99" s="54" t="s">
        <v>701</v>
      </c>
      <c r="P99" s="15" t="s">
        <v>747</v>
      </c>
      <c r="Q99" s="15">
        <f>P99*N99</f>
        <v>0.12</v>
      </c>
      <c r="R99" s="14"/>
    </row>
    <row r="100" spans="1:18">
      <c r="A100" s="1"/>
      <c r="B100" s="17">
        <f t="shared" si="0"/>
        <v>93</v>
      </c>
      <c r="C100" s="22" t="s">
        <v>22</v>
      </c>
      <c r="D100" s="20" t="s">
        <v>119</v>
      </c>
      <c r="E100" s="20" t="s">
        <v>247</v>
      </c>
      <c r="F100" s="20" t="s">
        <v>306</v>
      </c>
      <c r="G100" s="20" t="s">
        <v>406</v>
      </c>
      <c r="H100" s="20" t="s">
        <v>438</v>
      </c>
      <c r="I100" s="14" t="s">
        <v>672</v>
      </c>
      <c r="J100" s="20" t="s">
        <v>557</v>
      </c>
      <c r="K100" s="20" t="s">
        <v>646</v>
      </c>
      <c r="L100" s="20">
        <v>1</v>
      </c>
      <c r="M100" s="14">
        <f t="shared" si="30"/>
        <v>10</v>
      </c>
      <c r="N100" s="20" t="s">
        <v>784</v>
      </c>
      <c r="O100" s="54" t="s">
        <v>701</v>
      </c>
      <c r="P100" s="21" t="s">
        <v>747</v>
      </c>
      <c r="Q100" s="21">
        <f t="shared" ref="Q100" si="46">P100*N100</f>
        <v>0.12</v>
      </c>
      <c r="R100" s="20"/>
    </row>
    <row r="101" spans="1:18">
      <c r="A101" s="1"/>
      <c r="B101" s="16">
        <f>ROW(B101) - ROW($B$7)</f>
        <v>94</v>
      </c>
      <c r="C101" s="22" t="s">
        <v>22</v>
      </c>
      <c r="D101" s="14" t="s">
        <v>120</v>
      </c>
      <c r="E101" s="14" t="s">
        <v>248</v>
      </c>
      <c r="F101" s="14" t="s">
        <v>306</v>
      </c>
      <c r="G101" s="14" t="s">
        <v>407</v>
      </c>
      <c r="H101" s="14" t="s">
        <v>438</v>
      </c>
      <c r="I101" s="14" t="s">
        <v>672</v>
      </c>
      <c r="J101" s="14" t="s">
        <v>558</v>
      </c>
      <c r="K101" s="14" t="s">
        <v>647</v>
      </c>
      <c r="L101" s="14">
        <v>1</v>
      </c>
      <c r="M101" s="14">
        <f t="shared" si="30"/>
        <v>10</v>
      </c>
      <c r="N101" s="14" t="s">
        <v>784</v>
      </c>
      <c r="O101" s="54" t="s">
        <v>701</v>
      </c>
      <c r="P101" s="15" t="s">
        <v>721</v>
      </c>
      <c r="Q101" s="15">
        <f>P101*N101</f>
        <v>0.11</v>
      </c>
      <c r="R101" s="14"/>
    </row>
    <row r="102" spans="1:18">
      <c r="A102" s="1"/>
      <c r="B102" s="17">
        <f t="shared" si="0"/>
        <v>95</v>
      </c>
      <c r="C102" s="23" t="s">
        <v>22</v>
      </c>
      <c r="D102" s="20" t="s">
        <v>121</v>
      </c>
      <c r="E102" s="20" t="s">
        <v>249</v>
      </c>
      <c r="F102" s="20" t="s">
        <v>306</v>
      </c>
      <c r="G102" s="20" t="s">
        <v>408</v>
      </c>
      <c r="H102" s="20" t="s">
        <v>438</v>
      </c>
      <c r="I102" s="14" t="s">
        <v>672</v>
      </c>
      <c r="J102" s="20" t="s">
        <v>559</v>
      </c>
      <c r="K102" s="20" t="s">
        <v>648</v>
      </c>
      <c r="L102" s="20">
        <v>2</v>
      </c>
      <c r="M102" s="14">
        <f t="shared" si="30"/>
        <v>20</v>
      </c>
      <c r="N102" s="20" t="s">
        <v>784</v>
      </c>
      <c r="O102" s="54" t="s">
        <v>701</v>
      </c>
      <c r="P102" s="21" t="s">
        <v>757</v>
      </c>
      <c r="Q102" s="21">
        <f t="shared" ref="Q102" si="47">P102*N102</f>
        <v>0.28999999999999998</v>
      </c>
      <c r="R102" s="20"/>
    </row>
    <row r="103" spans="1:18">
      <c r="A103" s="1"/>
      <c r="B103" s="16">
        <f>ROW(B103) - ROW($B$7)</f>
        <v>96</v>
      </c>
      <c r="C103" s="22" t="s">
        <v>22</v>
      </c>
      <c r="D103" s="50" t="s">
        <v>122</v>
      </c>
      <c r="E103" s="50" t="s">
        <v>227</v>
      </c>
      <c r="F103" s="50" t="s">
        <v>306</v>
      </c>
      <c r="G103" s="50" t="s">
        <v>387</v>
      </c>
      <c r="H103" s="50" t="s">
        <v>438</v>
      </c>
      <c r="I103" s="50" t="s">
        <v>672</v>
      </c>
      <c r="J103" s="50" t="s">
        <v>537</v>
      </c>
      <c r="K103" s="50" t="s">
        <v>609</v>
      </c>
      <c r="L103" s="50">
        <v>2</v>
      </c>
      <c r="M103" s="45">
        <f t="shared" si="30"/>
        <v>20</v>
      </c>
      <c r="N103" s="50" t="s">
        <v>784</v>
      </c>
      <c r="O103" s="54" t="s">
        <v>672</v>
      </c>
      <c r="P103" s="51" t="s">
        <v>672</v>
      </c>
      <c r="Q103" s="51" t="s">
        <v>672</v>
      </c>
      <c r="R103" s="53" t="s">
        <v>688</v>
      </c>
    </row>
    <row r="104" spans="1:18" ht="36">
      <c r="A104" s="1"/>
      <c r="B104" s="17">
        <f t="shared" si="0"/>
        <v>97</v>
      </c>
      <c r="C104" s="23" t="s">
        <v>23</v>
      </c>
      <c r="D104" s="20" t="s">
        <v>123</v>
      </c>
      <c r="E104" s="20" t="s">
        <v>250</v>
      </c>
      <c r="F104" s="20" t="s">
        <v>305</v>
      </c>
      <c r="G104" s="20" t="s">
        <v>409</v>
      </c>
      <c r="H104" s="20" t="s">
        <v>438</v>
      </c>
      <c r="I104" s="20" t="s">
        <v>672</v>
      </c>
      <c r="J104" s="20" t="s">
        <v>560</v>
      </c>
      <c r="K104" s="20" t="s">
        <v>649</v>
      </c>
      <c r="L104" s="20">
        <v>1</v>
      </c>
      <c r="M104" s="14">
        <f t="shared" si="30"/>
        <v>10</v>
      </c>
      <c r="N104" s="20" t="s">
        <v>787</v>
      </c>
      <c r="O104" s="54" t="s">
        <v>701</v>
      </c>
      <c r="P104" s="21" t="s">
        <v>758</v>
      </c>
      <c r="Q104" s="21">
        <f t="shared" ref="Q104" si="48">P104*N104</f>
        <v>0.47399999999999998</v>
      </c>
      <c r="R104" s="20"/>
    </row>
    <row r="105" spans="1:18">
      <c r="A105" s="1"/>
      <c r="B105" s="16">
        <f>ROW(B105) - ROW($B$7)</f>
        <v>98</v>
      </c>
      <c r="C105" s="22" t="s">
        <v>23</v>
      </c>
      <c r="D105" s="14" t="s">
        <v>124</v>
      </c>
      <c r="E105" s="14" t="s">
        <v>251</v>
      </c>
      <c r="F105" s="14" t="s">
        <v>306</v>
      </c>
      <c r="G105" s="14" t="s">
        <v>410</v>
      </c>
      <c r="H105" s="14" t="s">
        <v>438</v>
      </c>
      <c r="I105" s="20" t="s">
        <v>672</v>
      </c>
      <c r="J105" s="14" t="s">
        <v>561</v>
      </c>
      <c r="K105" s="14" t="s">
        <v>650</v>
      </c>
      <c r="L105" s="14">
        <v>1</v>
      </c>
      <c r="M105" s="14">
        <f t="shared" si="30"/>
        <v>10</v>
      </c>
      <c r="N105" s="14" t="s">
        <v>784</v>
      </c>
      <c r="O105" s="54" t="s">
        <v>701</v>
      </c>
      <c r="P105" s="15" t="s">
        <v>721</v>
      </c>
      <c r="Q105" s="15">
        <f>P105*N105</f>
        <v>0.11</v>
      </c>
      <c r="R105" s="14"/>
    </row>
    <row r="106" spans="1:18">
      <c r="A106" s="1"/>
      <c r="B106" s="17">
        <f t="shared" si="0"/>
        <v>99</v>
      </c>
      <c r="C106" s="23" t="s">
        <v>22</v>
      </c>
      <c r="D106" s="20" t="s">
        <v>125</v>
      </c>
      <c r="E106" s="20" t="s">
        <v>252</v>
      </c>
      <c r="F106" s="20" t="s">
        <v>306</v>
      </c>
      <c r="G106" s="20" t="s">
        <v>411</v>
      </c>
      <c r="H106" s="20" t="s">
        <v>438</v>
      </c>
      <c r="I106" s="20" t="s">
        <v>672</v>
      </c>
      <c r="J106" s="20" t="s">
        <v>562</v>
      </c>
      <c r="K106" s="20" t="s">
        <v>651</v>
      </c>
      <c r="L106" s="20">
        <v>1</v>
      </c>
      <c r="M106" s="14">
        <f t="shared" si="30"/>
        <v>10</v>
      </c>
      <c r="N106" s="20" t="s">
        <v>784</v>
      </c>
      <c r="O106" s="54" t="s">
        <v>701</v>
      </c>
      <c r="P106" s="21" t="s">
        <v>752</v>
      </c>
      <c r="Q106" s="21">
        <f t="shared" ref="Q106" si="49">P106*N106</f>
        <v>0.13</v>
      </c>
      <c r="R106" s="20"/>
    </row>
    <row r="107" spans="1:18">
      <c r="A107" s="1"/>
      <c r="B107" s="16">
        <f>ROW(B107) - ROW($B$7)</f>
        <v>100</v>
      </c>
      <c r="C107" s="22" t="s">
        <v>22</v>
      </c>
      <c r="D107" s="14" t="s">
        <v>126</v>
      </c>
      <c r="E107" s="14" t="s">
        <v>253</v>
      </c>
      <c r="F107" s="14" t="s">
        <v>306</v>
      </c>
      <c r="G107" s="14" t="s">
        <v>412</v>
      </c>
      <c r="H107" s="14" t="s">
        <v>438</v>
      </c>
      <c r="I107" s="20" t="s">
        <v>672</v>
      </c>
      <c r="J107" s="14" t="s">
        <v>563</v>
      </c>
      <c r="K107" s="14" t="s">
        <v>622</v>
      </c>
      <c r="L107" s="14">
        <v>1</v>
      </c>
      <c r="M107" s="14">
        <f t="shared" si="30"/>
        <v>10</v>
      </c>
      <c r="N107" s="14" t="s">
        <v>784</v>
      </c>
      <c r="O107" s="54" t="s">
        <v>701</v>
      </c>
      <c r="P107" s="15" t="s">
        <v>721</v>
      </c>
      <c r="Q107" s="15">
        <f>P107*N107</f>
        <v>0.11</v>
      </c>
      <c r="R107" s="14"/>
    </row>
    <row r="108" spans="1:18">
      <c r="A108" s="1"/>
      <c r="B108" s="17">
        <f t="shared" si="0"/>
        <v>101</v>
      </c>
      <c r="C108" s="23" t="s">
        <v>22</v>
      </c>
      <c r="D108" s="50" t="s">
        <v>127</v>
      </c>
      <c r="E108" s="50" t="s">
        <v>245</v>
      </c>
      <c r="F108" s="50" t="s">
        <v>306</v>
      </c>
      <c r="G108" s="50" t="s">
        <v>404</v>
      </c>
      <c r="H108" s="50" t="s">
        <v>438</v>
      </c>
      <c r="I108" s="50" t="s">
        <v>672</v>
      </c>
      <c r="J108" s="50" t="s">
        <v>555</v>
      </c>
      <c r="K108" s="50" t="s">
        <v>609</v>
      </c>
      <c r="L108" s="50">
        <v>1</v>
      </c>
      <c r="M108" s="45">
        <f t="shared" si="30"/>
        <v>10</v>
      </c>
      <c r="N108" s="50" t="s">
        <v>784</v>
      </c>
      <c r="O108" s="54" t="s">
        <v>672</v>
      </c>
      <c r="P108" s="51" t="s">
        <v>672</v>
      </c>
      <c r="Q108" s="51" t="s">
        <v>672</v>
      </c>
      <c r="R108" s="53" t="s">
        <v>688</v>
      </c>
    </row>
    <row r="109" spans="1:18">
      <c r="A109" s="1"/>
      <c r="B109" s="16">
        <f>ROW(B109) - ROW($B$7)</f>
        <v>102</v>
      </c>
      <c r="C109" s="22" t="s">
        <v>23</v>
      </c>
      <c r="D109" s="14" t="s">
        <v>128</v>
      </c>
      <c r="E109" s="14" t="s">
        <v>254</v>
      </c>
      <c r="F109" s="14" t="s">
        <v>306</v>
      </c>
      <c r="G109" s="14" t="s">
        <v>413</v>
      </c>
      <c r="H109" s="14" t="s">
        <v>438</v>
      </c>
      <c r="I109" s="14" t="s">
        <v>672</v>
      </c>
      <c r="J109" s="14" t="s">
        <v>564</v>
      </c>
      <c r="K109" s="14" t="s">
        <v>613</v>
      </c>
      <c r="L109" s="14">
        <v>1</v>
      </c>
      <c r="M109" s="14">
        <f t="shared" si="30"/>
        <v>10</v>
      </c>
      <c r="N109" s="14" t="s">
        <v>784</v>
      </c>
      <c r="O109" s="54" t="s">
        <v>701</v>
      </c>
      <c r="P109" s="15" t="s">
        <v>747</v>
      </c>
      <c r="Q109" s="15">
        <f>P109*N109</f>
        <v>0.12</v>
      </c>
      <c r="R109" s="14"/>
    </row>
    <row r="110" spans="1:18">
      <c r="A110" s="1"/>
      <c r="B110" s="17">
        <f t="shared" si="0"/>
        <v>103</v>
      </c>
      <c r="C110" s="23" t="s">
        <v>22</v>
      </c>
      <c r="D110" s="50" t="s">
        <v>129</v>
      </c>
      <c r="E110" s="50" t="s">
        <v>253</v>
      </c>
      <c r="F110" s="50" t="s">
        <v>306</v>
      </c>
      <c r="G110" s="50" t="s">
        <v>412</v>
      </c>
      <c r="H110" s="50" t="s">
        <v>438</v>
      </c>
      <c r="I110" s="50" t="s">
        <v>672</v>
      </c>
      <c r="J110" s="50" t="s">
        <v>563</v>
      </c>
      <c r="K110" s="50" t="s">
        <v>609</v>
      </c>
      <c r="L110" s="50">
        <v>1</v>
      </c>
      <c r="M110" s="45">
        <f t="shared" si="30"/>
        <v>10</v>
      </c>
      <c r="N110" s="50" t="s">
        <v>784</v>
      </c>
      <c r="O110" s="54" t="s">
        <v>672</v>
      </c>
      <c r="P110" s="51" t="s">
        <v>672</v>
      </c>
      <c r="Q110" s="51" t="s">
        <v>672</v>
      </c>
      <c r="R110" s="53" t="s">
        <v>688</v>
      </c>
    </row>
    <row r="111" spans="1:18">
      <c r="A111" s="1"/>
      <c r="B111" s="16">
        <f>ROW(B111) - ROW($B$7)</f>
        <v>104</v>
      </c>
      <c r="C111" s="22" t="s">
        <v>22</v>
      </c>
      <c r="D111" s="14" t="s">
        <v>130</v>
      </c>
      <c r="E111" s="14" t="s">
        <v>255</v>
      </c>
      <c r="F111" s="14" t="s">
        <v>306</v>
      </c>
      <c r="G111" s="14" t="s">
        <v>414</v>
      </c>
      <c r="H111" s="14" t="s">
        <v>438</v>
      </c>
      <c r="I111" s="14" t="s">
        <v>672</v>
      </c>
      <c r="J111" s="14" t="s">
        <v>565</v>
      </c>
      <c r="K111" s="14" t="s">
        <v>652</v>
      </c>
      <c r="L111" s="14">
        <v>4</v>
      </c>
      <c r="M111" s="14">
        <f t="shared" si="30"/>
        <v>40</v>
      </c>
      <c r="N111" s="14" t="s">
        <v>784</v>
      </c>
      <c r="O111" s="54" t="s">
        <v>701</v>
      </c>
      <c r="P111" s="15" t="s">
        <v>747</v>
      </c>
      <c r="Q111" s="15">
        <f>P111*N111</f>
        <v>0.12</v>
      </c>
      <c r="R111" s="14"/>
    </row>
    <row r="112" spans="1:18">
      <c r="A112" s="1"/>
      <c r="B112" s="17">
        <f t="shared" si="0"/>
        <v>105</v>
      </c>
      <c r="C112" s="23" t="s">
        <v>22</v>
      </c>
      <c r="D112" s="20" t="s">
        <v>131</v>
      </c>
      <c r="E112" s="20" t="s">
        <v>256</v>
      </c>
      <c r="F112" s="20" t="s">
        <v>306</v>
      </c>
      <c r="G112" s="20" t="s">
        <v>415</v>
      </c>
      <c r="H112" s="20" t="s">
        <v>438</v>
      </c>
      <c r="I112" s="20" t="s">
        <v>672</v>
      </c>
      <c r="J112" s="20" t="s">
        <v>566</v>
      </c>
      <c r="K112" s="20" t="s">
        <v>623</v>
      </c>
      <c r="L112" s="20">
        <v>1</v>
      </c>
      <c r="M112" s="14">
        <f t="shared" si="30"/>
        <v>10</v>
      </c>
      <c r="N112" s="20" t="s">
        <v>784</v>
      </c>
      <c r="O112" s="54" t="s">
        <v>701</v>
      </c>
      <c r="P112" s="21" t="s">
        <v>721</v>
      </c>
      <c r="Q112" s="21">
        <f t="shared" ref="Q112" si="50">P112*N112</f>
        <v>0.11</v>
      </c>
      <c r="R112" s="20"/>
    </row>
    <row r="113" spans="1:18">
      <c r="A113" s="1"/>
      <c r="B113" s="16">
        <f>ROW(B113) - ROW($B$7)</f>
        <v>106</v>
      </c>
      <c r="C113" s="22" t="s">
        <v>22</v>
      </c>
      <c r="D113" s="50" t="s">
        <v>132</v>
      </c>
      <c r="E113" s="50" t="s">
        <v>249</v>
      </c>
      <c r="F113" s="50" t="s">
        <v>306</v>
      </c>
      <c r="G113" s="50" t="s">
        <v>408</v>
      </c>
      <c r="H113" s="50" t="s">
        <v>438</v>
      </c>
      <c r="I113" s="50" t="s">
        <v>672</v>
      </c>
      <c r="J113" s="50" t="s">
        <v>559</v>
      </c>
      <c r="K113" s="50" t="s">
        <v>609</v>
      </c>
      <c r="L113" s="50">
        <v>1</v>
      </c>
      <c r="M113" s="45">
        <f t="shared" si="30"/>
        <v>10</v>
      </c>
      <c r="N113" s="50" t="s">
        <v>784</v>
      </c>
      <c r="O113" s="54" t="s">
        <v>672</v>
      </c>
      <c r="P113" s="51" t="s">
        <v>672</v>
      </c>
      <c r="Q113" s="51" t="s">
        <v>672</v>
      </c>
      <c r="R113" s="53" t="s">
        <v>688</v>
      </c>
    </row>
    <row r="114" spans="1:18">
      <c r="A114" s="1"/>
      <c r="B114" s="17">
        <f t="shared" si="0"/>
        <v>107</v>
      </c>
      <c r="C114" s="23" t="s">
        <v>23</v>
      </c>
      <c r="D114" s="50" t="s">
        <v>133</v>
      </c>
      <c r="E114" s="50" t="s">
        <v>223</v>
      </c>
      <c r="F114" s="50" t="s">
        <v>305</v>
      </c>
      <c r="G114" s="50" t="s">
        <v>383</v>
      </c>
      <c r="H114" s="50" t="s">
        <v>438</v>
      </c>
      <c r="I114" s="50" t="s">
        <v>672</v>
      </c>
      <c r="J114" s="50" t="s">
        <v>533</v>
      </c>
      <c r="K114" s="50" t="s">
        <v>609</v>
      </c>
      <c r="L114" s="50">
        <v>2</v>
      </c>
      <c r="M114" s="45">
        <f t="shared" si="30"/>
        <v>20</v>
      </c>
      <c r="N114" s="50" t="s">
        <v>784</v>
      </c>
      <c r="O114" s="54" t="s">
        <v>672</v>
      </c>
      <c r="P114" s="51" t="s">
        <v>672</v>
      </c>
      <c r="Q114" s="51" t="s">
        <v>672</v>
      </c>
      <c r="R114" s="53" t="s">
        <v>688</v>
      </c>
    </row>
    <row r="115" spans="1:18">
      <c r="A115" s="1"/>
      <c r="B115" s="17">
        <f t="shared" si="0"/>
        <v>108</v>
      </c>
      <c r="C115" s="23" t="s">
        <v>23</v>
      </c>
      <c r="D115" s="14" t="s">
        <v>134</v>
      </c>
      <c r="E115" s="47" t="s">
        <v>257</v>
      </c>
      <c r="F115" s="14" t="s">
        <v>305</v>
      </c>
      <c r="G115" s="47" t="s">
        <v>416</v>
      </c>
      <c r="H115" s="14" t="s">
        <v>438</v>
      </c>
      <c r="I115" s="47" t="s">
        <v>672</v>
      </c>
      <c r="J115" s="14" t="s">
        <v>567</v>
      </c>
      <c r="K115" s="14" t="s">
        <v>653</v>
      </c>
      <c r="L115" s="20">
        <v>1</v>
      </c>
      <c r="M115" s="14">
        <f t="shared" si="30"/>
        <v>10</v>
      </c>
      <c r="N115" s="20" t="s">
        <v>784</v>
      </c>
      <c r="O115" s="54" t="s">
        <v>701</v>
      </c>
      <c r="P115" s="21" t="s">
        <v>746</v>
      </c>
      <c r="Q115" s="21">
        <f t="shared" ref="Q115" si="51">P115*N115</f>
        <v>0.06</v>
      </c>
      <c r="R115" s="20"/>
    </row>
    <row r="116" spans="1:18" ht="24">
      <c r="A116" s="1"/>
      <c r="B116" s="16">
        <f>ROW(B116) - ROW($B$7)</f>
        <v>109</v>
      </c>
      <c r="C116" s="22" t="s">
        <v>24</v>
      </c>
      <c r="D116" s="14" t="s">
        <v>135</v>
      </c>
      <c r="E116" s="14" t="s">
        <v>258</v>
      </c>
      <c r="F116" s="20" t="s">
        <v>674</v>
      </c>
      <c r="G116" s="14" t="s">
        <v>307</v>
      </c>
      <c r="H116" s="14" t="s">
        <v>457</v>
      </c>
      <c r="I116" s="47" t="s">
        <v>672</v>
      </c>
      <c r="J116" s="14" t="s">
        <v>568</v>
      </c>
      <c r="K116" s="14" t="s">
        <v>672</v>
      </c>
      <c r="L116" s="14">
        <v>1</v>
      </c>
      <c r="M116" s="14">
        <f t="shared" si="30"/>
        <v>10</v>
      </c>
      <c r="N116" s="14">
        <v>11</v>
      </c>
      <c r="O116" s="54" t="s">
        <v>701</v>
      </c>
      <c r="P116" s="15" t="s">
        <v>759</v>
      </c>
      <c r="Q116" s="15">
        <f>P116*N116</f>
        <v>2.6960999999999999</v>
      </c>
      <c r="R116" s="14"/>
    </row>
    <row r="117" spans="1:18" ht="48">
      <c r="A117" s="1"/>
      <c r="B117" s="17">
        <f t="shared" si="0"/>
        <v>110</v>
      </c>
      <c r="C117" s="23" t="s">
        <v>25</v>
      </c>
      <c r="D117" s="20" t="s">
        <v>136</v>
      </c>
      <c r="E117" s="20" t="s">
        <v>259</v>
      </c>
      <c r="F117" s="20" t="s">
        <v>674</v>
      </c>
      <c r="G117" s="20" t="s">
        <v>308</v>
      </c>
      <c r="H117" s="20" t="s">
        <v>458</v>
      </c>
      <c r="I117" s="47" t="s">
        <v>672</v>
      </c>
      <c r="J117" s="20" t="s">
        <v>569</v>
      </c>
      <c r="K117" s="14" t="s">
        <v>672</v>
      </c>
      <c r="L117" s="20">
        <v>1</v>
      </c>
      <c r="M117" s="14">
        <f t="shared" si="30"/>
        <v>10</v>
      </c>
      <c r="N117" s="20">
        <v>20</v>
      </c>
      <c r="O117" s="54" t="s">
        <v>701</v>
      </c>
      <c r="P117" s="21" t="s">
        <v>760</v>
      </c>
      <c r="Q117" s="21">
        <f t="shared" ref="Q117" si="52">P117*N117</f>
        <v>0.77400000000000002</v>
      </c>
      <c r="R117" s="20"/>
    </row>
    <row r="118" spans="1:18" ht="36">
      <c r="A118" s="1"/>
      <c r="B118" s="16">
        <f>ROW(B118) - ROW($B$7)</f>
        <v>111</v>
      </c>
      <c r="C118" s="22" t="s">
        <v>25</v>
      </c>
      <c r="D118" s="14" t="s">
        <v>137</v>
      </c>
      <c r="E118" s="14" t="s">
        <v>260</v>
      </c>
      <c r="F118" s="20" t="s">
        <v>674</v>
      </c>
      <c r="G118" s="14" t="s">
        <v>309</v>
      </c>
      <c r="H118" s="14" t="s">
        <v>458</v>
      </c>
      <c r="I118" s="47" t="s">
        <v>672</v>
      </c>
      <c r="J118" s="14" t="s">
        <v>570</v>
      </c>
      <c r="K118" s="14" t="s">
        <v>672</v>
      </c>
      <c r="L118" s="14">
        <v>4</v>
      </c>
      <c r="M118" s="14">
        <f t="shared" si="30"/>
        <v>40</v>
      </c>
      <c r="N118" s="14">
        <v>50</v>
      </c>
      <c r="O118" s="54" t="s">
        <v>701</v>
      </c>
      <c r="P118" s="15" t="s">
        <v>761</v>
      </c>
      <c r="Q118" s="15">
        <f>P118*N118</f>
        <v>2.5149999999999997</v>
      </c>
      <c r="R118" s="14"/>
    </row>
    <row r="119" spans="1:18" ht="24">
      <c r="A119" s="1"/>
      <c r="B119" s="17">
        <f t="shared" si="0"/>
        <v>112</v>
      </c>
      <c r="C119" s="23" t="s">
        <v>26</v>
      </c>
      <c r="D119" s="20" t="s">
        <v>138</v>
      </c>
      <c r="E119" s="20" t="s">
        <v>261</v>
      </c>
      <c r="F119" s="20" t="s">
        <v>310</v>
      </c>
      <c r="G119" s="20" t="s">
        <v>417</v>
      </c>
      <c r="H119" s="20" t="s">
        <v>459</v>
      </c>
      <c r="I119" s="47" t="s">
        <v>672</v>
      </c>
      <c r="J119" s="20" t="s">
        <v>571</v>
      </c>
      <c r="K119" s="14" t="s">
        <v>672</v>
      </c>
      <c r="L119" s="20">
        <v>1</v>
      </c>
      <c r="M119" s="14">
        <f t="shared" si="30"/>
        <v>10</v>
      </c>
      <c r="N119" s="20">
        <v>11</v>
      </c>
      <c r="O119" s="54" t="s">
        <v>701</v>
      </c>
      <c r="P119" s="21" t="s">
        <v>762</v>
      </c>
      <c r="Q119" s="21">
        <f t="shared" ref="Q119" si="53">P119*N119</f>
        <v>54.447800000000001</v>
      </c>
      <c r="R119" s="20"/>
    </row>
    <row r="120" spans="1:18">
      <c r="A120" s="1"/>
      <c r="B120" s="16">
        <f>ROW(B120) - ROW($B$7)</f>
        <v>113</v>
      </c>
      <c r="C120" s="22" t="s">
        <v>26</v>
      </c>
      <c r="D120" s="14" t="s">
        <v>139</v>
      </c>
      <c r="E120" s="14" t="s">
        <v>262</v>
      </c>
      <c r="F120" s="14" t="s">
        <v>311</v>
      </c>
      <c r="G120" s="14" t="s">
        <v>418</v>
      </c>
      <c r="H120" s="14" t="s">
        <v>460</v>
      </c>
      <c r="I120" s="47" t="s">
        <v>672</v>
      </c>
      <c r="J120" s="14" t="s">
        <v>572</v>
      </c>
      <c r="K120" s="14" t="s">
        <v>672</v>
      </c>
      <c r="L120" s="14">
        <v>1</v>
      </c>
      <c r="M120" s="14">
        <f t="shared" si="30"/>
        <v>10</v>
      </c>
      <c r="N120" s="14">
        <v>11</v>
      </c>
      <c r="O120" s="54" t="s">
        <v>701</v>
      </c>
      <c r="P120" s="15" t="s">
        <v>763</v>
      </c>
      <c r="Q120" s="15">
        <f>P120*N120</f>
        <v>6.5615000000000006</v>
      </c>
      <c r="R120" s="14"/>
    </row>
    <row r="121" spans="1:18" ht="24">
      <c r="A121" s="1"/>
      <c r="B121" s="17">
        <f t="shared" si="0"/>
        <v>114</v>
      </c>
      <c r="C121" s="23" t="s">
        <v>26</v>
      </c>
      <c r="D121" s="20" t="s">
        <v>140</v>
      </c>
      <c r="E121" s="20" t="s">
        <v>263</v>
      </c>
      <c r="F121" s="20" t="s">
        <v>312</v>
      </c>
      <c r="G121" s="20" t="s">
        <v>419</v>
      </c>
      <c r="H121" s="20" t="s">
        <v>461</v>
      </c>
      <c r="I121" s="47" t="s">
        <v>672</v>
      </c>
      <c r="J121" s="20" t="s">
        <v>573</v>
      </c>
      <c r="K121" s="14" t="s">
        <v>672</v>
      </c>
      <c r="L121" s="20">
        <v>1</v>
      </c>
      <c r="M121" s="14">
        <f t="shared" si="30"/>
        <v>10</v>
      </c>
      <c r="N121" s="20">
        <v>11</v>
      </c>
      <c r="O121" s="54" t="s">
        <v>701</v>
      </c>
      <c r="P121" s="21" t="s">
        <v>764</v>
      </c>
      <c r="Q121" s="21">
        <f t="shared" ref="Q121" si="54">P121*N121</f>
        <v>4.0248999999999997</v>
      </c>
      <c r="R121" s="20"/>
    </row>
    <row r="122" spans="1:18" ht="24">
      <c r="A122" s="1"/>
      <c r="B122" s="16">
        <f>ROW(B122) - ROW($B$7)</f>
        <v>115</v>
      </c>
      <c r="C122" s="22" t="s">
        <v>26</v>
      </c>
      <c r="D122" s="14" t="s">
        <v>141</v>
      </c>
      <c r="E122" s="14" t="s">
        <v>264</v>
      </c>
      <c r="F122" s="14" t="s">
        <v>313</v>
      </c>
      <c r="G122" s="14" t="s">
        <v>420</v>
      </c>
      <c r="H122" s="14" t="s">
        <v>462</v>
      </c>
      <c r="I122" s="47" t="s">
        <v>672</v>
      </c>
      <c r="J122" s="14" t="s">
        <v>574</v>
      </c>
      <c r="K122" s="14" t="s">
        <v>672</v>
      </c>
      <c r="L122" s="14">
        <v>1</v>
      </c>
      <c r="M122" s="14">
        <f t="shared" si="30"/>
        <v>10</v>
      </c>
      <c r="N122" s="14">
        <v>11</v>
      </c>
      <c r="O122" s="54" t="s">
        <v>701</v>
      </c>
      <c r="P122" s="15" t="s">
        <v>765</v>
      </c>
      <c r="Q122" s="15">
        <f>P122*N122</f>
        <v>4.9763999999999999</v>
      </c>
      <c r="R122" s="14"/>
    </row>
    <row r="123" spans="1:18">
      <c r="A123" s="1"/>
      <c r="B123" s="17">
        <f t="shared" si="0"/>
        <v>116</v>
      </c>
      <c r="C123" s="23" t="s">
        <v>26</v>
      </c>
      <c r="D123" s="20" t="s">
        <v>142</v>
      </c>
      <c r="E123" s="20" t="s">
        <v>265</v>
      </c>
      <c r="F123" s="20" t="s">
        <v>314</v>
      </c>
      <c r="G123" s="20" t="s">
        <v>421</v>
      </c>
      <c r="H123" s="20" t="s">
        <v>463</v>
      </c>
      <c r="I123" s="47" t="s">
        <v>672</v>
      </c>
      <c r="J123" s="20" t="s">
        <v>575</v>
      </c>
      <c r="K123" s="14" t="s">
        <v>672</v>
      </c>
      <c r="L123" s="20">
        <v>1</v>
      </c>
      <c r="M123" s="14">
        <f t="shared" si="30"/>
        <v>10</v>
      </c>
      <c r="N123" s="20">
        <v>11</v>
      </c>
      <c r="O123" s="54" t="s">
        <v>701</v>
      </c>
      <c r="P123" s="21" t="s">
        <v>766</v>
      </c>
      <c r="Q123" s="21">
        <f t="shared" ref="Q123" si="55">P123*N123</f>
        <v>3.8719999999999999</v>
      </c>
      <c r="R123" s="20"/>
    </row>
    <row r="124" spans="1:18">
      <c r="A124" s="1"/>
      <c r="B124" s="16">
        <f>ROW(B124) - ROW($B$7)</f>
        <v>117</v>
      </c>
      <c r="C124" s="22" t="s">
        <v>26</v>
      </c>
      <c r="D124" s="14" t="s">
        <v>143</v>
      </c>
      <c r="E124" s="14" t="s">
        <v>266</v>
      </c>
      <c r="F124" s="14" t="s">
        <v>315</v>
      </c>
      <c r="G124" s="14" t="s">
        <v>422</v>
      </c>
      <c r="H124" s="14" t="s">
        <v>463</v>
      </c>
      <c r="I124" s="47" t="s">
        <v>672</v>
      </c>
      <c r="J124" s="14" t="s">
        <v>576</v>
      </c>
      <c r="K124" s="14" t="s">
        <v>672</v>
      </c>
      <c r="L124" s="14">
        <v>1</v>
      </c>
      <c r="M124" s="14">
        <f t="shared" si="30"/>
        <v>10</v>
      </c>
      <c r="N124" s="14">
        <v>11</v>
      </c>
      <c r="O124" s="54" t="s">
        <v>701</v>
      </c>
      <c r="P124" s="15" t="s">
        <v>767</v>
      </c>
      <c r="Q124" s="15">
        <f>P124*N124</f>
        <v>4.5682999999999998</v>
      </c>
      <c r="R124" s="14"/>
    </row>
    <row r="125" spans="1:18">
      <c r="A125" s="1"/>
      <c r="B125" s="17">
        <f t="shared" si="0"/>
        <v>118</v>
      </c>
      <c r="C125" s="23" t="s">
        <v>26</v>
      </c>
      <c r="D125" s="20" t="s">
        <v>144</v>
      </c>
      <c r="E125" s="20" t="s">
        <v>267</v>
      </c>
      <c r="F125" s="20" t="s">
        <v>316</v>
      </c>
      <c r="G125" s="20" t="s">
        <v>423</v>
      </c>
      <c r="H125" s="20" t="s">
        <v>463</v>
      </c>
      <c r="I125" s="47" t="s">
        <v>672</v>
      </c>
      <c r="J125" s="20" t="s">
        <v>577</v>
      </c>
      <c r="K125" s="14" t="s">
        <v>672</v>
      </c>
      <c r="L125" s="20">
        <v>1</v>
      </c>
      <c r="M125" s="14">
        <f t="shared" si="30"/>
        <v>10</v>
      </c>
      <c r="N125" s="20">
        <v>15</v>
      </c>
      <c r="O125" s="54" t="s">
        <v>701</v>
      </c>
      <c r="P125" s="21" t="s">
        <v>768</v>
      </c>
      <c r="Q125" s="21">
        <f t="shared" ref="Q125" si="56">P125*N125</f>
        <v>1.2645</v>
      </c>
      <c r="R125" s="20"/>
    </row>
    <row r="126" spans="1:18">
      <c r="A126" s="1"/>
      <c r="B126" s="16">
        <f>ROW(B126) - ROW($B$7)</f>
        <v>119</v>
      </c>
      <c r="C126" s="22" t="s">
        <v>26</v>
      </c>
      <c r="D126" s="14" t="s">
        <v>145</v>
      </c>
      <c r="E126" s="14" t="s">
        <v>268</v>
      </c>
      <c r="F126" s="14" t="s">
        <v>317</v>
      </c>
      <c r="G126" s="14" t="s">
        <v>424</v>
      </c>
      <c r="H126" s="14" t="s">
        <v>463</v>
      </c>
      <c r="I126" s="47" t="s">
        <v>672</v>
      </c>
      <c r="J126" s="14" t="s">
        <v>578</v>
      </c>
      <c r="K126" s="14" t="s">
        <v>672</v>
      </c>
      <c r="L126" s="14">
        <v>1</v>
      </c>
      <c r="M126" s="14">
        <f t="shared" si="30"/>
        <v>10</v>
      </c>
      <c r="N126" s="14">
        <v>11</v>
      </c>
      <c r="O126" s="54" t="s">
        <v>701</v>
      </c>
      <c r="P126" s="15" t="s">
        <v>769</v>
      </c>
      <c r="Q126" s="15">
        <f>P126*N126</f>
        <v>4.4605000000000006</v>
      </c>
      <c r="R126" s="14"/>
    </row>
    <row r="127" spans="1:18">
      <c r="A127" s="1"/>
      <c r="B127" s="17">
        <f t="shared" si="0"/>
        <v>120</v>
      </c>
      <c r="C127" s="23" t="s">
        <v>26</v>
      </c>
      <c r="D127" s="20" t="s">
        <v>146</v>
      </c>
      <c r="E127" s="20" t="s">
        <v>269</v>
      </c>
      <c r="F127" s="20" t="s">
        <v>303</v>
      </c>
      <c r="G127" s="20" t="s">
        <v>425</v>
      </c>
      <c r="H127" s="20" t="s">
        <v>464</v>
      </c>
      <c r="I127" s="47" t="s">
        <v>672</v>
      </c>
      <c r="J127" s="20" t="s">
        <v>579</v>
      </c>
      <c r="K127" s="14" t="s">
        <v>672</v>
      </c>
      <c r="L127" s="20">
        <v>1</v>
      </c>
      <c r="M127" s="14">
        <f t="shared" si="30"/>
        <v>10</v>
      </c>
      <c r="N127" s="20">
        <v>15</v>
      </c>
      <c r="O127" s="54" t="s">
        <v>701</v>
      </c>
      <c r="P127" s="21" t="s">
        <v>770</v>
      </c>
      <c r="Q127" s="21">
        <f t="shared" ref="Q127" si="57">P127*N127</f>
        <v>2.0024999999999999</v>
      </c>
      <c r="R127" s="20"/>
    </row>
    <row r="128" spans="1:18">
      <c r="A128" s="1"/>
      <c r="B128" s="16">
        <f>ROW(B128) - ROW($B$7)</f>
        <v>121</v>
      </c>
      <c r="C128" s="22" t="s">
        <v>26</v>
      </c>
      <c r="D128" s="14" t="s">
        <v>147</v>
      </c>
      <c r="E128" s="14" t="s">
        <v>270</v>
      </c>
      <c r="F128" s="14" t="s">
        <v>318</v>
      </c>
      <c r="G128" s="14" t="s">
        <v>426</v>
      </c>
      <c r="H128" s="14" t="s">
        <v>463</v>
      </c>
      <c r="I128" s="47" t="s">
        <v>672</v>
      </c>
      <c r="J128" s="14" t="s">
        <v>692</v>
      </c>
      <c r="K128" s="14" t="s">
        <v>672</v>
      </c>
      <c r="L128" s="14">
        <v>1</v>
      </c>
      <c r="M128" s="14">
        <f t="shared" si="30"/>
        <v>10</v>
      </c>
      <c r="N128" s="14">
        <v>11</v>
      </c>
      <c r="O128" s="54" t="s">
        <v>701</v>
      </c>
      <c r="P128" s="15" t="s">
        <v>771</v>
      </c>
      <c r="Q128" s="15">
        <f>P128*N128</f>
        <v>19.677900000000001</v>
      </c>
      <c r="R128" s="14"/>
    </row>
    <row r="129" spans="1:18" ht="24">
      <c r="A129" s="1"/>
      <c r="B129" s="17">
        <f t="shared" si="0"/>
        <v>122</v>
      </c>
      <c r="C129" s="23" t="s">
        <v>26</v>
      </c>
      <c r="D129" s="20" t="s">
        <v>148</v>
      </c>
      <c r="E129" s="20" t="s">
        <v>271</v>
      </c>
      <c r="F129" s="20" t="s">
        <v>319</v>
      </c>
      <c r="G129" s="20" t="s">
        <v>427</v>
      </c>
      <c r="H129" s="20" t="s">
        <v>465</v>
      </c>
      <c r="I129" s="47" t="s">
        <v>672</v>
      </c>
      <c r="J129" s="20" t="s">
        <v>580</v>
      </c>
      <c r="K129" s="14" t="s">
        <v>672</v>
      </c>
      <c r="L129" s="20">
        <v>1</v>
      </c>
      <c r="M129" s="14">
        <f t="shared" si="30"/>
        <v>10</v>
      </c>
      <c r="N129" s="20">
        <v>11</v>
      </c>
      <c r="O129" s="54" t="s">
        <v>701</v>
      </c>
      <c r="P129" s="21" t="s">
        <v>772</v>
      </c>
      <c r="Q129" s="21">
        <f t="shared" ref="Q129" si="58">P129*N129</f>
        <v>3.8477999999999999</v>
      </c>
      <c r="R129" s="20"/>
    </row>
    <row r="130" spans="1:18">
      <c r="A130" s="1"/>
      <c r="B130" s="16">
        <f>ROW(B130) - ROW($B$7)</f>
        <v>123</v>
      </c>
      <c r="C130" s="22" t="s">
        <v>26</v>
      </c>
      <c r="D130" s="14" t="s">
        <v>149</v>
      </c>
      <c r="E130" s="14" t="s">
        <v>272</v>
      </c>
      <c r="F130" s="14" t="s">
        <v>320</v>
      </c>
      <c r="G130" s="14" t="s">
        <v>428</v>
      </c>
      <c r="H130" s="14" t="s">
        <v>463</v>
      </c>
      <c r="I130" s="47" t="s">
        <v>672</v>
      </c>
      <c r="J130" s="14" t="s">
        <v>581</v>
      </c>
      <c r="K130" s="14" t="s">
        <v>672</v>
      </c>
      <c r="L130" s="14">
        <v>1</v>
      </c>
      <c r="M130" s="14">
        <f t="shared" si="30"/>
        <v>10</v>
      </c>
      <c r="N130" s="14">
        <v>11</v>
      </c>
      <c r="O130" s="54" t="s">
        <v>701</v>
      </c>
      <c r="P130" s="15" t="s">
        <v>773</v>
      </c>
      <c r="Q130" s="15">
        <f>P130*N130</f>
        <v>8.3314000000000004</v>
      </c>
      <c r="R130" s="14"/>
    </row>
    <row r="131" spans="1:18">
      <c r="A131" s="1"/>
      <c r="B131" s="17">
        <f t="shared" si="0"/>
        <v>124</v>
      </c>
      <c r="C131" s="23" t="s">
        <v>26</v>
      </c>
      <c r="D131" s="20" t="s">
        <v>150</v>
      </c>
      <c r="E131" s="20" t="s">
        <v>273</v>
      </c>
      <c r="F131" s="20" t="s">
        <v>321</v>
      </c>
      <c r="G131" s="20" t="s">
        <v>429</v>
      </c>
      <c r="H131" s="20" t="s">
        <v>463</v>
      </c>
      <c r="I131" s="47" t="s">
        <v>672</v>
      </c>
      <c r="J131" s="20" t="s">
        <v>582</v>
      </c>
      <c r="K131" s="14" t="s">
        <v>672</v>
      </c>
      <c r="L131" s="20">
        <v>1</v>
      </c>
      <c r="M131" s="14">
        <f t="shared" si="30"/>
        <v>10</v>
      </c>
      <c r="N131" s="20">
        <v>11</v>
      </c>
      <c r="O131" s="54" t="s">
        <v>701</v>
      </c>
      <c r="P131" s="21" t="s">
        <v>774</v>
      </c>
      <c r="Q131" s="21">
        <f t="shared" ref="Q131" si="59">P131*N131</f>
        <v>33.382800000000003</v>
      </c>
      <c r="R131" s="20"/>
    </row>
    <row r="132" spans="1:18" ht="24">
      <c r="A132" s="1"/>
      <c r="B132" s="16">
        <f>ROW(B132) - ROW($B$7)</f>
        <v>125</v>
      </c>
      <c r="C132" s="22" t="s">
        <v>26</v>
      </c>
      <c r="D132" s="14" t="s">
        <v>151</v>
      </c>
      <c r="E132" s="14" t="s">
        <v>274</v>
      </c>
      <c r="F132" s="20" t="s">
        <v>674</v>
      </c>
      <c r="G132" s="14" t="s">
        <v>322</v>
      </c>
      <c r="H132" s="14" t="s">
        <v>466</v>
      </c>
      <c r="I132" s="47" t="s">
        <v>672</v>
      </c>
      <c r="J132" s="14" t="s">
        <v>672</v>
      </c>
      <c r="K132" s="14" t="s">
        <v>672</v>
      </c>
      <c r="L132" s="14">
        <v>1</v>
      </c>
      <c r="M132" s="14">
        <f t="shared" si="30"/>
        <v>10</v>
      </c>
      <c r="N132" s="14">
        <v>11</v>
      </c>
      <c r="O132" s="54" t="s">
        <v>792</v>
      </c>
      <c r="P132" s="15">
        <v>41.76</v>
      </c>
      <c r="Q132" s="15">
        <f>P132*N132</f>
        <v>459.35999999999996</v>
      </c>
      <c r="R132" s="14"/>
    </row>
    <row r="133" spans="1:18">
      <c r="A133" s="1"/>
      <c r="B133" s="17">
        <f t="shared" si="0"/>
        <v>126</v>
      </c>
      <c r="C133" s="23" t="s">
        <v>26</v>
      </c>
      <c r="D133" s="20" t="s">
        <v>152</v>
      </c>
      <c r="E133" s="20" t="s">
        <v>275</v>
      </c>
      <c r="F133" s="20" t="s">
        <v>323</v>
      </c>
      <c r="G133" s="20" t="s">
        <v>430</v>
      </c>
      <c r="H133" s="20" t="s">
        <v>463</v>
      </c>
      <c r="I133" s="47" t="s">
        <v>672</v>
      </c>
      <c r="J133" s="20" t="s">
        <v>583</v>
      </c>
      <c r="K133" s="14" t="s">
        <v>672</v>
      </c>
      <c r="L133" s="20">
        <v>1</v>
      </c>
      <c r="M133" s="14">
        <f t="shared" ref="M133:M140" si="60">L133*10</f>
        <v>10</v>
      </c>
      <c r="N133" s="20">
        <v>15</v>
      </c>
      <c r="O133" s="54" t="s">
        <v>701</v>
      </c>
      <c r="P133" s="21" t="s">
        <v>775</v>
      </c>
      <c r="Q133" s="21">
        <f t="shared" ref="Q133" si="61">P133*N133</f>
        <v>3.4395000000000002</v>
      </c>
      <c r="R133" s="20"/>
    </row>
    <row r="134" spans="1:18" ht="36">
      <c r="A134" s="1"/>
      <c r="B134" s="17">
        <f t="shared" si="0"/>
        <v>127</v>
      </c>
      <c r="C134" s="23" t="s">
        <v>27</v>
      </c>
      <c r="D134" s="20" t="s">
        <v>153</v>
      </c>
      <c r="E134" s="20" t="s">
        <v>276</v>
      </c>
      <c r="F134" s="20" t="s">
        <v>324</v>
      </c>
      <c r="G134" s="20" t="s">
        <v>431</v>
      </c>
      <c r="H134" s="20" t="s">
        <v>467</v>
      </c>
      <c r="I134" s="47" t="s">
        <v>672</v>
      </c>
      <c r="J134" s="20" t="s">
        <v>584</v>
      </c>
      <c r="K134" s="20" t="s">
        <v>654</v>
      </c>
      <c r="L134" s="20">
        <v>1</v>
      </c>
      <c r="M134" s="14">
        <f t="shared" si="60"/>
        <v>10</v>
      </c>
      <c r="N134" s="20">
        <v>15</v>
      </c>
      <c r="O134" s="54" t="s">
        <v>701</v>
      </c>
      <c r="P134" s="21" t="s">
        <v>776</v>
      </c>
      <c r="Q134" s="21">
        <f t="shared" ref="Q134" si="62">P134*N134</f>
        <v>2.379</v>
      </c>
      <c r="R134" s="20"/>
    </row>
    <row r="135" spans="1:18">
      <c r="A135" s="1"/>
      <c r="B135" s="16">
        <f>ROW(B135) - ROW($B$7)</f>
        <v>128</v>
      </c>
      <c r="C135" s="22" t="s">
        <v>28</v>
      </c>
      <c r="D135" s="14" t="s">
        <v>154</v>
      </c>
      <c r="E135" s="14" t="s">
        <v>277</v>
      </c>
      <c r="F135" s="14" t="s">
        <v>325</v>
      </c>
      <c r="G135" s="14" t="s">
        <v>432</v>
      </c>
      <c r="H135" s="14" t="s">
        <v>468</v>
      </c>
      <c r="I135" s="47" t="s">
        <v>672</v>
      </c>
      <c r="J135" s="14" t="s">
        <v>585</v>
      </c>
      <c r="K135" s="14" t="s">
        <v>655</v>
      </c>
      <c r="L135" s="14">
        <v>2</v>
      </c>
      <c r="M135" s="14">
        <f t="shared" si="60"/>
        <v>20</v>
      </c>
      <c r="N135" s="14">
        <v>25</v>
      </c>
      <c r="O135" s="54" t="s">
        <v>701</v>
      </c>
      <c r="P135" s="15" t="s">
        <v>777</v>
      </c>
      <c r="Q135" s="15">
        <f>P135*N135</f>
        <v>5.6099999999999994</v>
      </c>
      <c r="R135" s="14"/>
    </row>
    <row r="136" spans="1:18" ht="36.75" thickBot="1">
      <c r="A136" s="1"/>
      <c r="B136" s="17">
        <f t="shared" si="0"/>
        <v>129</v>
      </c>
      <c r="C136" s="23" t="s">
        <v>29</v>
      </c>
      <c r="D136" s="20" t="s">
        <v>155</v>
      </c>
      <c r="E136" s="20" t="s">
        <v>278</v>
      </c>
      <c r="F136" s="20" t="s">
        <v>326</v>
      </c>
      <c r="G136" s="20" t="s">
        <v>433</v>
      </c>
      <c r="H136" s="20" t="s">
        <v>469</v>
      </c>
      <c r="I136" s="47" t="s">
        <v>672</v>
      </c>
      <c r="J136" s="20" t="s">
        <v>586</v>
      </c>
      <c r="K136" s="20" t="s">
        <v>654</v>
      </c>
      <c r="L136" s="20">
        <v>1</v>
      </c>
      <c r="M136" s="14">
        <f t="shared" si="60"/>
        <v>10</v>
      </c>
      <c r="N136" s="20">
        <v>15</v>
      </c>
      <c r="O136" s="54" t="s">
        <v>701</v>
      </c>
      <c r="P136" s="21" t="s">
        <v>778</v>
      </c>
      <c r="Q136" s="21">
        <f t="shared" ref="Q136:Q140" si="63">P136*N136</f>
        <v>4.3424999999999994</v>
      </c>
      <c r="R136" s="20"/>
    </row>
    <row r="137" spans="1:18" ht="24.75" thickBot="1">
      <c r="A137" s="1"/>
      <c r="B137" s="46">
        <f>ROW(B137) - ROW($B$2)</f>
        <v>135</v>
      </c>
      <c r="C137" s="22" t="s">
        <v>671</v>
      </c>
      <c r="D137" s="14" t="s">
        <v>672</v>
      </c>
      <c r="E137" s="47" t="s">
        <v>673</v>
      </c>
      <c r="F137" s="14" t="s">
        <v>674</v>
      </c>
      <c r="G137" s="47" t="s">
        <v>675</v>
      </c>
      <c r="H137" s="14" t="s">
        <v>676</v>
      </c>
      <c r="I137" s="47" t="s">
        <v>672</v>
      </c>
      <c r="J137" s="20" t="s">
        <v>693</v>
      </c>
      <c r="K137" s="47" t="s">
        <v>672</v>
      </c>
      <c r="L137" s="14">
        <v>2</v>
      </c>
      <c r="M137" s="14">
        <f t="shared" si="60"/>
        <v>20</v>
      </c>
      <c r="N137" s="20">
        <v>21</v>
      </c>
      <c r="O137" s="54" t="s">
        <v>701</v>
      </c>
      <c r="P137" s="21" t="s">
        <v>779</v>
      </c>
      <c r="Q137" s="21">
        <f t="shared" si="63"/>
        <v>12.7281</v>
      </c>
      <c r="R137" s="20"/>
    </row>
    <row r="138" spans="1:18" ht="51.75" thickBot="1">
      <c r="A138" s="1"/>
      <c r="B138" s="46">
        <f>ROW(B138) - ROW($B$2)</f>
        <v>136</v>
      </c>
      <c r="C138" s="22" t="s">
        <v>671</v>
      </c>
      <c r="D138" s="14" t="s">
        <v>672</v>
      </c>
      <c r="E138" s="47" t="s">
        <v>677</v>
      </c>
      <c r="F138" s="20" t="s">
        <v>674</v>
      </c>
      <c r="G138" s="47" t="s">
        <v>678</v>
      </c>
      <c r="H138" s="14" t="s">
        <v>679</v>
      </c>
      <c r="I138" s="47" t="s">
        <v>672</v>
      </c>
      <c r="J138" s="20" t="s">
        <v>694</v>
      </c>
      <c r="K138" s="47"/>
      <c r="L138" s="14">
        <v>1</v>
      </c>
      <c r="M138" s="14">
        <f t="shared" si="60"/>
        <v>10</v>
      </c>
      <c r="N138" s="20">
        <v>11</v>
      </c>
      <c r="O138" s="54" t="s">
        <v>701</v>
      </c>
      <c r="P138" s="21" t="s">
        <v>780</v>
      </c>
      <c r="Q138" s="21">
        <f t="shared" si="63"/>
        <v>61.974000000000004</v>
      </c>
      <c r="R138" s="49" t="s">
        <v>686</v>
      </c>
    </row>
    <row r="139" spans="1:18" ht="36.75" thickBot="1">
      <c r="A139" s="1"/>
      <c r="B139" s="46">
        <f t="shared" ref="B139:B140" si="64">ROW(B139) - ROW($B$2)</f>
        <v>137</v>
      </c>
      <c r="C139" s="22" t="s">
        <v>671</v>
      </c>
      <c r="D139" s="14" t="s">
        <v>672</v>
      </c>
      <c r="E139" s="48" t="s">
        <v>680</v>
      </c>
      <c r="F139" s="20" t="s">
        <v>674</v>
      </c>
      <c r="G139" s="48" t="s">
        <v>681</v>
      </c>
      <c r="H139" s="20" t="s">
        <v>682</v>
      </c>
      <c r="I139" s="47" t="s">
        <v>672</v>
      </c>
      <c r="J139" s="20" t="s">
        <v>695</v>
      </c>
      <c r="K139" s="48"/>
      <c r="L139" s="20">
        <v>1</v>
      </c>
      <c r="M139" s="14">
        <f t="shared" si="60"/>
        <v>10</v>
      </c>
      <c r="N139" s="20">
        <v>15</v>
      </c>
      <c r="O139" s="54" t="s">
        <v>701</v>
      </c>
      <c r="P139" s="21" t="s">
        <v>781</v>
      </c>
      <c r="Q139" s="21">
        <f t="shared" si="63"/>
        <v>1.92</v>
      </c>
      <c r="R139" s="20"/>
    </row>
    <row r="140" spans="1:18" ht="24.75" thickBot="1">
      <c r="A140" s="1"/>
      <c r="B140" s="46">
        <f t="shared" si="64"/>
        <v>138</v>
      </c>
      <c r="C140" s="22" t="s">
        <v>671</v>
      </c>
      <c r="D140" s="14" t="s">
        <v>672</v>
      </c>
      <c r="E140" s="48" t="s">
        <v>683</v>
      </c>
      <c r="F140" s="20" t="s">
        <v>674</v>
      </c>
      <c r="G140" s="48" t="s">
        <v>684</v>
      </c>
      <c r="H140" s="20" t="s">
        <v>685</v>
      </c>
      <c r="I140" s="47" t="s">
        <v>672</v>
      </c>
      <c r="J140" s="20" t="s">
        <v>696</v>
      </c>
      <c r="K140" s="48"/>
      <c r="L140" s="20">
        <v>2</v>
      </c>
      <c r="M140" s="14">
        <f t="shared" si="60"/>
        <v>20</v>
      </c>
      <c r="N140" s="20">
        <v>21</v>
      </c>
      <c r="O140" s="54" t="s">
        <v>701</v>
      </c>
      <c r="P140" s="21" t="s">
        <v>782</v>
      </c>
      <c r="Q140" s="21">
        <f t="shared" si="63"/>
        <v>30.8658</v>
      </c>
      <c r="R140" s="20"/>
    </row>
    <row r="141" spans="1:18" ht="19.5" thickBot="1">
      <c r="A141" s="1"/>
      <c r="N141" s="43" t="s">
        <v>3</v>
      </c>
      <c r="O141" s="44"/>
      <c r="P141" s="44"/>
      <c r="Q141" s="18">
        <f>SUM(Q8:Q140)</f>
        <v>880.00659999999993</v>
      </c>
    </row>
    <row r="142" spans="1:18" ht="19.5" thickBot="1">
      <c r="A142" s="1"/>
      <c r="N142" s="43" t="s">
        <v>4</v>
      </c>
      <c r="O142" s="44"/>
      <c r="P142" s="44"/>
      <c r="Q142" s="19">
        <f>Q141/10</f>
        <v>88.000659999999996</v>
      </c>
    </row>
    <row r="143" spans="1:18">
      <c r="A143" s="1"/>
    </row>
    <row r="150" spans="13:13">
      <c r="M150" s="38"/>
    </row>
  </sheetData>
  <mergeCells count="3">
    <mergeCell ref="K1:R1"/>
    <mergeCell ref="N141:P141"/>
    <mergeCell ref="N142:P142"/>
  </mergeCells>
  <hyperlinks>
    <hyperlink ref="O8" r:id="rId1"/>
    <hyperlink ref="O9" r:id="rId2"/>
    <hyperlink ref="O10" r:id="rId3"/>
    <hyperlink ref="O11" r:id="rId4"/>
    <hyperlink ref="O13" r:id="rId5"/>
    <hyperlink ref="O14" r:id="rId6"/>
    <hyperlink ref="O15" r:id="rId7"/>
    <hyperlink ref="O16" r:id="rId8"/>
    <hyperlink ref="O17" r:id="rId9"/>
    <hyperlink ref="O18" r:id="rId10"/>
    <hyperlink ref="O19" r:id="rId11"/>
    <hyperlink ref="O20" r:id="rId12"/>
    <hyperlink ref="O21" r:id="rId13"/>
    <hyperlink ref="O22" r:id="rId14"/>
    <hyperlink ref="O23" r:id="rId15"/>
    <hyperlink ref="O24" r:id="rId16"/>
    <hyperlink ref="O25" r:id="rId17"/>
    <hyperlink ref="O26" r:id="rId18"/>
    <hyperlink ref="O27" r:id="rId19"/>
    <hyperlink ref="O28" r:id="rId20"/>
    <hyperlink ref="O29" r:id="rId21"/>
    <hyperlink ref="O30" r:id="rId22"/>
    <hyperlink ref="O31" r:id="rId23"/>
    <hyperlink ref="O32" r:id="rId24"/>
    <hyperlink ref="O33" r:id="rId25"/>
    <hyperlink ref="O34" r:id="rId26"/>
    <hyperlink ref="O35" r:id="rId27"/>
    <hyperlink ref="O36" r:id="rId28"/>
    <hyperlink ref="O37" r:id="rId29" display="LCSC"/>
    <hyperlink ref="O40" r:id="rId30"/>
    <hyperlink ref="O41" r:id="rId31" display="LCSC"/>
    <hyperlink ref="O42" r:id="rId32"/>
    <hyperlink ref="O44" r:id="rId33"/>
    <hyperlink ref="O45" r:id="rId34"/>
    <hyperlink ref="O46" r:id="rId35"/>
    <hyperlink ref="O47" r:id="rId36"/>
    <hyperlink ref="O48" r:id="rId37" display="LCSC"/>
    <hyperlink ref="O49" r:id="rId38"/>
    <hyperlink ref="O50" r:id="rId39"/>
    <hyperlink ref="O51" r:id="rId40"/>
    <hyperlink ref="O52" r:id="rId41"/>
    <hyperlink ref="O53" r:id="rId42"/>
    <hyperlink ref="O54" r:id="rId43" display="LCSC"/>
    <hyperlink ref="O56" r:id="rId44"/>
    <hyperlink ref="O57" r:id="rId45"/>
    <hyperlink ref="O58" r:id="rId46"/>
    <hyperlink ref="O59" r:id="rId47"/>
    <hyperlink ref="O60" r:id="rId48"/>
    <hyperlink ref="O61" r:id="rId49"/>
    <hyperlink ref="O62" r:id="rId50"/>
    <hyperlink ref="O63" r:id="rId51"/>
    <hyperlink ref="O64" r:id="rId52"/>
    <hyperlink ref="O65" r:id="rId53"/>
    <hyperlink ref="O66" r:id="rId54"/>
    <hyperlink ref="O67" r:id="rId55"/>
    <hyperlink ref="O68" r:id="rId56"/>
    <hyperlink ref="O69" r:id="rId57"/>
    <hyperlink ref="O70" r:id="rId58"/>
    <hyperlink ref="O71" r:id="rId59"/>
    <hyperlink ref="O72" r:id="rId60"/>
    <hyperlink ref="O73" r:id="rId61"/>
    <hyperlink ref="O74" r:id="rId62"/>
    <hyperlink ref="O75" r:id="rId63"/>
    <hyperlink ref="O76" r:id="rId64"/>
    <hyperlink ref="O77" r:id="rId65"/>
    <hyperlink ref="O78" r:id="rId66"/>
    <hyperlink ref="O79" r:id="rId67"/>
    <hyperlink ref="O80" r:id="rId68"/>
    <hyperlink ref="O81" r:id="rId69"/>
    <hyperlink ref="O82" r:id="rId70"/>
    <hyperlink ref="O83" r:id="rId71"/>
    <hyperlink ref="O84" r:id="rId72"/>
    <hyperlink ref="O85" r:id="rId73"/>
    <hyperlink ref="O86" r:id="rId74"/>
    <hyperlink ref="O87" r:id="rId75"/>
    <hyperlink ref="O88" r:id="rId76"/>
    <hyperlink ref="O89" r:id="rId77"/>
    <hyperlink ref="O90" r:id="rId78"/>
    <hyperlink ref="O91" r:id="rId79"/>
    <hyperlink ref="O92" r:id="rId80"/>
    <hyperlink ref="O93" r:id="rId81"/>
    <hyperlink ref="O94" r:id="rId82"/>
    <hyperlink ref="O95" r:id="rId83"/>
    <hyperlink ref="O96" r:id="rId84"/>
    <hyperlink ref="O97" r:id="rId85"/>
    <hyperlink ref="O98" r:id="rId86"/>
    <hyperlink ref="O99" r:id="rId87"/>
    <hyperlink ref="O100" r:id="rId88"/>
    <hyperlink ref="O101" r:id="rId89"/>
    <hyperlink ref="O102" r:id="rId90"/>
    <hyperlink ref="O103" r:id="rId91" display="LCSC"/>
    <hyperlink ref="O105" r:id="rId92"/>
    <hyperlink ref="O106" r:id="rId93"/>
    <hyperlink ref="O107" r:id="rId94"/>
    <hyperlink ref="O108" r:id="rId95" display="LCSC"/>
    <hyperlink ref="O110" r:id="rId96" display="LCSC"/>
    <hyperlink ref="O112" r:id="rId97"/>
    <hyperlink ref="O113" r:id="rId98" display="LCSC"/>
    <hyperlink ref="O114" r:id="rId99" display="url"/>
    <hyperlink ref="O116" r:id="rId100"/>
    <hyperlink ref="O117" r:id="rId101"/>
    <hyperlink ref="O118" r:id="rId102"/>
    <hyperlink ref="O119" r:id="rId103"/>
    <hyperlink ref="O120" r:id="rId104"/>
    <hyperlink ref="O121" r:id="rId105"/>
    <hyperlink ref="O122" r:id="rId106"/>
    <hyperlink ref="O123" r:id="rId107"/>
    <hyperlink ref="O124" r:id="rId108"/>
    <hyperlink ref="O125" r:id="rId109"/>
    <hyperlink ref="O126" r:id="rId110"/>
    <hyperlink ref="O127" r:id="rId111"/>
    <hyperlink ref="O128" r:id="rId112"/>
    <hyperlink ref="O129" r:id="rId113"/>
    <hyperlink ref="O130" r:id="rId114"/>
    <hyperlink ref="O43" r:id="rId115"/>
    <hyperlink ref="O133" r:id="rId116"/>
    <hyperlink ref="O134" r:id="rId117"/>
    <hyperlink ref="O135" r:id="rId118"/>
    <hyperlink ref="O136" r:id="rId119"/>
    <hyperlink ref="O137" r:id="rId120"/>
    <hyperlink ref="O138" r:id="rId121"/>
    <hyperlink ref="O139" r:id="rId122"/>
    <hyperlink ref="O140" r:id="rId123"/>
    <hyperlink ref="O131" r:id="rId124"/>
    <hyperlink ref="O12" r:id="rId125"/>
    <hyperlink ref="O55" r:id="rId126"/>
    <hyperlink ref="O104" r:id="rId127"/>
    <hyperlink ref="O109" r:id="rId128"/>
    <hyperlink ref="O111" r:id="rId129"/>
    <hyperlink ref="O132" r:id="rId130"/>
    <hyperlink ref="O39" r:id="rId131"/>
    <hyperlink ref="O115" r:id="rId132"/>
  </hyperlinks>
  <pageMargins left="0.7" right="0.7" top="0.75" bottom="0.75" header="0.3" footer="0.3"/>
  <pageSetup paperSize="9" orientation="portrait" r:id="rId1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2"/>
  <sheetViews>
    <sheetView tabSelected="1" topLeftCell="E124" workbookViewId="0">
      <selection activeCell="G142" sqref="G142"/>
    </sheetView>
  </sheetViews>
  <sheetFormatPr defaultRowHeight="15"/>
  <cols>
    <col min="2" max="2" width="4" bestFit="1" customWidth="1"/>
    <col min="3" max="3" width="16.7109375" customWidth="1"/>
    <col min="4" max="4" width="31.140625" bestFit="1" customWidth="1"/>
    <col min="5" max="5" width="26.42578125" customWidth="1"/>
    <col min="6" max="6" width="12.28515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8.42578125" bestFit="1" customWidth="1"/>
    <col min="12" max="12" width="8.7109375" bestFit="1" customWidth="1"/>
    <col min="13" max="13" width="21.42578125" bestFit="1" customWidth="1"/>
    <col min="14" max="14" width="18.28515625" bestFit="1" customWidth="1"/>
    <col min="16" max="16" width="21.85546875" bestFit="1" customWidth="1"/>
    <col min="17" max="17" width="22.42578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>
      <c r="A2" s="1"/>
      <c r="B2" s="7"/>
      <c r="C2" s="13"/>
      <c r="D2" s="4" t="s">
        <v>0</v>
      </c>
      <c r="E2" s="4"/>
      <c r="F2" s="40" t="s">
        <v>665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666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30</v>
      </c>
      <c r="E7" s="12" t="s">
        <v>156</v>
      </c>
      <c r="F7" s="12" t="s">
        <v>279</v>
      </c>
      <c r="G7" s="12" t="s">
        <v>327</v>
      </c>
      <c r="H7" s="12" t="s">
        <v>434</v>
      </c>
      <c r="I7" s="12" t="s">
        <v>657</v>
      </c>
      <c r="J7" s="12" t="s">
        <v>470</v>
      </c>
      <c r="K7" s="12" t="s">
        <v>658</v>
      </c>
      <c r="L7" s="12" t="s">
        <v>656</v>
      </c>
      <c r="M7" s="12" t="s">
        <v>794</v>
      </c>
      <c r="N7" s="12" t="s">
        <v>795</v>
      </c>
      <c r="O7" s="12" t="s">
        <v>661</v>
      </c>
      <c r="P7" s="12" t="s">
        <v>796</v>
      </c>
      <c r="Q7" s="12" t="s">
        <v>797</v>
      </c>
      <c r="R7" s="12" t="s">
        <v>664</v>
      </c>
    </row>
    <row r="8" spans="1:18">
      <c r="A8" s="1"/>
      <c r="B8" s="16">
        <f>ROW(B8) - ROW($B$7)</f>
        <v>1</v>
      </c>
      <c r="C8" s="22" t="s">
        <v>6</v>
      </c>
      <c r="D8" s="14" t="s">
        <v>31</v>
      </c>
      <c r="E8" s="14" t="s">
        <v>157</v>
      </c>
      <c r="F8" s="14" t="s">
        <v>280</v>
      </c>
      <c r="G8" s="14" t="s">
        <v>328</v>
      </c>
      <c r="H8" s="14" t="s">
        <v>435</v>
      </c>
      <c r="I8" s="14" t="s">
        <v>672</v>
      </c>
      <c r="J8" s="14" t="s">
        <v>471</v>
      </c>
      <c r="K8" s="14" t="s">
        <v>587</v>
      </c>
      <c r="L8" s="14">
        <v>4</v>
      </c>
      <c r="M8" s="14">
        <f>L8*1000</f>
        <v>4000</v>
      </c>
      <c r="N8" s="14">
        <v>4020</v>
      </c>
      <c r="O8" s="54" t="s">
        <v>701</v>
      </c>
      <c r="P8" s="15" t="s">
        <v>704</v>
      </c>
      <c r="Q8" s="15">
        <f>P8*N8</f>
        <v>51.456000000000003</v>
      </c>
      <c r="R8" s="14"/>
    </row>
    <row r="9" spans="1:18" ht="24">
      <c r="A9" s="1"/>
      <c r="B9" s="17">
        <f t="shared" ref="B9:B136" si="0">ROW(B9) - ROW($B$7)</f>
        <v>2</v>
      </c>
      <c r="C9" s="23" t="s">
        <v>6</v>
      </c>
      <c r="D9" s="20" t="s">
        <v>32</v>
      </c>
      <c r="E9" s="20" t="s">
        <v>158</v>
      </c>
      <c r="F9" s="20" t="s">
        <v>280</v>
      </c>
      <c r="G9" s="20" t="s">
        <v>329</v>
      </c>
      <c r="H9" s="20" t="s">
        <v>435</v>
      </c>
      <c r="I9" s="14" t="s">
        <v>672</v>
      </c>
      <c r="J9" s="20" t="s">
        <v>472</v>
      </c>
      <c r="K9" s="20" t="s">
        <v>588</v>
      </c>
      <c r="L9" s="20">
        <v>10</v>
      </c>
      <c r="M9" s="14">
        <f t="shared" ref="M9:M72" si="1">L9*1000</f>
        <v>10000</v>
      </c>
      <c r="N9" s="20">
        <v>10002</v>
      </c>
      <c r="O9" s="54" t="s">
        <v>701</v>
      </c>
      <c r="P9" s="21" t="s">
        <v>798</v>
      </c>
      <c r="Q9" s="21">
        <f t="shared" ref="Q9" si="2">P9*N9</f>
        <v>162.0324</v>
      </c>
      <c r="R9" s="20"/>
    </row>
    <row r="10" spans="1:18" ht="24">
      <c r="A10" s="1"/>
      <c r="B10" s="16">
        <f>ROW(B10) - ROW($B$7)</f>
        <v>3</v>
      </c>
      <c r="C10" s="22" t="s">
        <v>7</v>
      </c>
      <c r="D10" s="14" t="s">
        <v>667</v>
      </c>
      <c r="E10" s="14" t="s">
        <v>159</v>
      </c>
      <c r="F10" s="14" t="s">
        <v>281</v>
      </c>
      <c r="G10" s="14" t="s">
        <v>330</v>
      </c>
      <c r="H10" s="14" t="s">
        <v>435</v>
      </c>
      <c r="I10" s="14" t="s">
        <v>672</v>
      </c>
      <c r="J10" s="14" t="s">
        <v>473</v>
      </c>
      <c r="K10" s="14" t="s">
        <v>589</v>
      </c>
      <c r="L10" s="14">
        <v>12</v>
      </c>
      <c r="M10" s="14">
        <f t="shared" si="1"/>
        <v>12000</v>
      </c>
      <c r="N10" s="14">
        <v>12010</v>
      </c>
      <c r="O10" s="54" t="s">
        <v>701</v>
      </c>
      <c r="P10" s="15" t="s">
        <v>799</v>
      </c>
      <c r="Q10" s="15">
        <f>P10*N10</f>
        <v>391.52599999999995</v>
      </c>
      <c r="R10" s="14"/>
    </row>
    <row r="11" spans="1:18" ht="48">
      <c r="A11" s="1"/>
      <c r="B11" s="17">
        <f t="shared" si="0"/>
        <v>4</v>
      </c>
      <c r="C11" s="23" t="s">
        <v>6</v>
      </c>
      <c r="D11" s="20" t="s">
        <v>668</v>
      </c>
      <c r="E11" s="20" t="s">
        <v>160</v>
      </c>
      <c r="F11" s="20" t="s">
        <v>280</v>
      </c>
      <c r="G11" s="20" t="s">
        <v>331</v>
      </c>
      <c r="H11" s="20" t="s">
        <v>435</v>
      </c>
      <c r="I11" s="14" t="s">
        <v>672</v>
      </c>
      <c r="J11" s="20" t="s">
        <v>474</v>
      </c>
      <c r="K11" s="20" t="s">
        <v>590</v>
      </c>
      <c r="L11" s="20">
        <v>30</v>
      </c>
      <c r="M11" s="14">
        <f t="shared" si="1"/>
        <v>30000</v>
      </c>
      <c r="N11" s="20">
        <v>30100</v>
      </c>
      <c r="O11" s="54" t="s">
        <v>701</v>
      </c>
      <c r="P11" s="21" t="s">
        <v>800</v>
      </c>
      <c r="Q11" s="21">
        <f t="shared" ref="Q11" si="3">P11*N11</f>
        <v>54.18</v>
      </c>
      <c r="R11" s="20"/>
    </row>
    <row r="12" spans="1:18" ht="24">
      <c r="A12" s="1"/>
      <c r="B12" s="16">
        <f>ROW(B12) - ROW($B$7)</f>
        <v>5</v>
      </c>
      <c r="C12" s="22" t="s">
        <v>8</v>
      </c>
      <c r="D12" s="14" t="s">
        <v>33</v>
      </c>
      <c r="E12" s="14" t="s">
        <v>161</v>
      </c>
      <c r="F12" s="14" t="s">
        <v>674</v>
      </c>
      <c r="G12" s="14" t="s">
        <v>282</v>
      </c>
      <c r="H12" s="14" t="s">
        <v>436</v>
      </c>
      <c r="I12" s="14" t="s">
        <v>672</v>
      </c>
      <c r="J12" s="14" t="s">
        <v>475</v>
      </c>
      <c r="K12" s="14" t="s">
        <v>591</v>
      </c>
      <c r="L12" s="14">
        <v>1</v>
      </c>
      <c r="M12" s="14">
        <f t="shared" si="1"/>
        <v>1000</v>
      </c>
      <c r="N12" s="14">
        <v>1002</v>
      </c>
      <c r="O12" s="54" t="s">
        <v>793</v>
      </c>
      <c r="P12" s="15">
        <v>0.27</v>
      </c>
      <c r="Q12" s="15">
        <f>P12*N12</f>
        <v>270.54000000000002</v>
      </c>
      <c r="R12" s="14"/>
    </row>
    <row r="13" spans="1:18" ht="24">
      <c r="A13" s="1"/>
      <c r="B13" s="17">
        <f t="shared" si="0"/>
        <v>6</v>
      </c>
      <c r="C13" s="23" t="s">
        <v>6</v>
      </c>
      <c r="D13" s="20" t="s">
        <v>34</v>
      </c>
      <c r="E13" s="20" t="s">
        <v>162</v>
      </c>
      <c r="F13" s="20" t="s">
        <v>281</v>
      </c>
      <c r="G13" s="20" t="s">
        <v>332</v>
      </c>
      <c r="H13" s="20" t="s">
        <v>435</v>
      </c>
      <c r="I13" s="14" t="s">
        <v>672</v>
      </c>
      <c r="J13" s="20" t="s">
        <v>476</v>
      </c>
      <c r="K13" s="20" t="s">
        <v>590</v>
      </c>
      <c r="L13" s="20">
        <v>12</v>
      </c>
      <c r="M13" s="14">
        <f t="shared" si="1"/>
        <v>12000</v>
      </c>
      <c r="N13" s="20">
        <v>12050</v>
      </c>
      <c r="O13" s="54" t="s">
        <v>701</v>
      </c>
      <c r="P13" s="21" t="s">
        <v>801</v>
      </c>
      <c r="Q13" s="21">
        <f t="shared" ref="Q13" si="4">P13*N13</f>
        <v>191.595</v>
      </c>
      <c r="R13" s="20"/>
    </row>
    <row r="14" spans="1:18">
      <c r="A14" s="1"/>
      <c r="B14" s="16">
        <f>ROW(B14) - ROW($B$7)</f>
        <v>7</v>
      </c>
      <c r="C14" s="22" t="s">
        <v>7</v>
      </c>
      <c r="D14" s="14" t="s">
        <v>35</v>
      </c>
      <c r="E14" s="14" t="s">
        <v>163</v>
      </c>
      <c r="F14" s="14" t="s">
        <v>281</v>
      </c>
      <c r="G14" s="14" t="s">
        <v>333</v>
      </c>
      <c r="H14" s="14" t="s">
        <v>435</v>
      </c>
      <c r="I14" s="14" t="s">
        <v>672</v>
      </c>
      <c r="J14" s="14" t="s">
        <v>477</v>
      </c>
      <c r="K14" s="14" t="s">
        <v>592</v>
      </c>
      <c r="L14" s="14">
        <v>1</v>
      </c>
      <c r="M14" s="14">
        <f t="shared" si="1"/>
        <v>1000</v>
      </c>
      <c r="N14" s="14">
        <v>1050</v>
      </c>
      <c r="O14" s="54" t="s">
        <v>701</v>
      </c>
      <c r="P14" s="15" t="s">
        <v>802</v>
      </c>
      <c r="Q14" s="15">
        <f>P14*N14</f>
        <v>14.700000000000001</v>
      </c>
      <c r="R14" s="14"/>
    </row>
    <row r="15" spans="1:18">
      <c r="A15" s="1"/>
      <c r="B15" s="17">
        <f t="shared" si="0"/>
        <v>8</v>
      </c>
      <c r="C15" s="22" t="s">
        <v>7</v>
      </c>
      <c r="D15" s="20" t="s">
        <v>36</v>
      </c>
      <c r="E15" s="20" t="s">
        <v>164</v>
      </c>
      <c r="F15" s="20" t="s">
        <v>280</v>
      </c>
      <c r="G15" s="20" t="s">
        <v>334</v>
      </c>
      <c r="H15" s="20" t="s">
        <v>437</v>
      </c>
      <c r="I15" s="14" t="s">
        <v>672</v>
      </c>
      <c r="J15" s="20" t="s">
        <v>689</v>
      </c>
      <c r="K15" s="20" t="s">
        <v>593</v>
      </c>
      <c r="L15" s="20">
        <v>2</v>
      </c>
      <c r="M15" s="14">
        <f t="shared" si="1"/>
        <v>2000</v>
      </c>
      <c r="N15" s="20">
        <v>2050</v>
      </c>
      <c r="O15" s="54" t="s">
        <v>701</v>
      </c>
      <c r="P15" s="21" t="s">
        <v>803</v>
      </c>
      <c r="Q15" s="21">
        <f t="shared" ref="Q15" si="5">P15*N15</f>
        <v>17.834999999999997</v>
      </c>
      <c r="R15" s="20"/>
    </row>
    <row r="16" spans="1:18" ht="24">
      <c r="A16" s="1"/>
      <c r="B16" s="16">
        <f>ROW(B16) - ROW($B$7)</f>
        <v>9</v>
      </c>
      <c r="C16" s="22" t="s">
        <v>7</v>
      </c>
      <c r="D16" s="14" t="s">
        <v>37</v>
      </c>
      <c r="E16" s="14" t="s">
        <v>165</v>
      </c>
      <c r="F16" s="14" t="s">
        <v>280</v>
      </c>
      <c r="G16" s="14" t="s">
        <v>335</v>
      </c>
      <c r="H16" s="14" t="s">
        <v>435</v>
      </c>
      <c r="I16" s="14" t="s">
        <v>672</v>
      </c>
      <c r="J16" s="14" t="s">
        <v>478</v>
      </c>
      <c r="K16" s="14" t="s">
        <v>594</v>
      </c>
      <c r="L16" s="14">
        <v>1</v>
      </c>
      <c r="M16" s="14">
        <f t="shared" si="1"/>
        <v>1000</v>
      </c>
      <c r="N16" s="14">
        <v>1100</v>
      </c>
      <c r="O16" s="54" t="s">
        <v>701</v>
      </c>
      <c r="P16" s="15" t="s">
        <v>804</v>
      </c>
      <c r="Q16" s="15">
        <f>P16*N16</f>
        <v>4.18</v>
      </c>
      <c r="R16" s="14"/>
    </row>
    <row r="17" spans="1:18" ht="24">
      <c r="A17" s="1"/>
      <c r="B17" s="17">
        <f t="shared" si="0"/>
        <v>10</v>
      </c>
      <c r="C17" s="23" t="s">
        <v>7</v>
      </c>
      <c r="D17" s="20" t="s">
        <v>38</v>
      </c>
      <c r="E17" s="20" t="s">
        <v>166</v>
      </c>
      <c r="F17" s="20" t="s">
        <v>280</v>
      </c>
      <c r="G17" s="20" t="s">
        <v>336</v>
      </c>
      <c r="H17" s="20" t="s">
        <v>435</v>
      </c>
      <c r="I17" s="14" t="s">
        <v>672</v>
      </c>
      <c r="J17" s="20" t="s">
        <v>479</v>
      </c>
      <c r="K17" s="20" t="s">
        <v>595</v>
      </c>
      <c r="L17" s="20">
        <v>9</v>
      </c>
      <c r="M17" s="14">
        <f t="shared" si="1"/>
        <v>9000</v>
      </c>
      <c r="N17" s="20">
        <v>9050</v>
      </c>
      <c r="O17" s="54" t="s">
        <v>701</v>
      </c>
      <c r="P17" s="21" t="s">
        <v>805</v>
      </c>
      <c r="Q17" s="21">
        <f t="shared" ref="Q17" si="6">P17*N17</f>
        <v>59.73</v>
      </c>
      <c r="R17" s="20"/>
    </row>
    <row r="18" spans="1:18" ht="24">
      <c r="A18" s="1"/>
      <c r="B18" s="16">
        <f>ROW(B18) - ROW($B$7)</f>
        <v>11</v>
      </c>
      <c r="C18" s="22" t="s">
        <v>6</v>
      </c>
      <c r="D18" s="14" t="s">
        <v>39</v>
      </c>
      <c r="E18" s="14" t="s">
        <v>167</v>
      </c>
      <c r="F18" s="14" t="s">
        <v>283</v>
      </c>
      <c r="G18" s="14" t="s">
        <v>337</v>
      </c>
      <c r="H18" s="14" t="s">
        <v>435</v>
      </c>
      <c r="I18" s="14" t="s">
        <v>672</v>
      </c>
      <c r="J18" s="14" t="s">
        <v>480</v>
      </c>
      <c r="K18" s="14" t="s">
        <v>589</v>
      </c>
      <c r="L18" s="14">
        <v>9</v>
      </c>
      <c r="M18" s="14">
        <f t="shared" si="1"/>
        <v>9000</v>
      </c>
      <c r="N18" s="14">
        <v>9005</v>
      </c>
      <c r="O18" s="54" t="s">
        <v>701</v>
      </c>
      <c r="P18" s="15" t="s">
        <v>806</v>
      </c>
      <c r="Q18" s="15">
        <f>P18*N18</f>
        <v>968.93799999999999</v>
      </c>
      <c r="R18" s="14"/>
    </row>
    <row r="19" spans="1:18">
      <c r="A19" s="1"/>
      <c r="B19" s="17">
        <f t="shared" si="0"/>
        <v>12</v>
      </c>
      <c r="C19" s="23" t="s">
        <v>7</v>
      </c>
      <c r="D19" s="20" t="s">
        <v>40</v>
      </c>
      <c r="E19" s="20" t="s">
        <v>168</v>
      </c>
      <c r="F19" s="20" t="s">
        <v>284</v>
      </c>
      <c r="G19" s="20" t="s">
        <v>338</v>
      </c>
      <c r="H19" s="20" t="s">
        <v>435</v>
      </c>
      <c r="I19" s="14" t="s">
        <v>672</v>
      </c>
      <c r="J19" s="20" t="s">
        <v>481</v>
      </c>
      <c r="K19" s="20" t="s">
        <v>596</v>
      </c>
      <c r="L19" s="20">
        <v>2</v>
      </c>
      <c r="M19" s="14">
        <f t="shared" si="1"/>
        <v>2000</v>
      </c>
      <c r="N19" s="20">
        <v>2005</v>
      </c>
      <c r="O19" s="54" t="s">
        <v>701</v>
      </c>
      <c r="P19" s="21" t="s">
        <v>807</v>
      </c>
      <c r="Q19" s="21">
        <f t="shared" ref="Q19" si="7">P19*N19</f>
        <v>113.2825</v>
      </c>
      <c r="R19" s="20"/>
    </row>
    <row r="20" spans="1:18">
      <c r="A20" s="1"/>
      <c r="B20" s="16">
        <f>ROW(B20) - ROW($B$7)</f>
        <v>13</v>
      </c>
      <c r="C20" s="22" t="s">
        <v>6</v>
      </c>
      <c r="D20" s="14" t="s">
        <v>41</v>
      </c>
      <c r="E20" s="14" t="s">
        <v>169</v>
      </c>
      <c r="F20" s="14" t="s">
        <v>281</v>
      </c>
      <c r="G20" s="14" t="s">
        <v>339</v>
      </c>
      <c r="H20" s="14" t="s">
        <v>435</v>
      </c>
      <c r="I20" s="14" t="s">
        <v>672</v>
      </c>
      <c r="J20" s="14" t="s">
        <v>482</v>
      </c>
      <c r="K20" s="14" t="s">
        <v>597</v>
      </c>
      <c r="L20" s="14">
        <v>3</v>
      </c>
      <c r="M20" s="14">
        <f t="shared" si="1"/>
        <v>3000</v>
      </c>
      <c r="N20" s="14">
        <v>3010</v>
      </c>
      <c r="O20" s="54" t="s">
        <v>701</v>
      </c>
      <c r="P20" s="15" t="s">
        <v>808</v>
      </c>
      <c r="Q20" s="15">
        <f>P20*N20</f>
        <v>75.25</v>
      </c>
      <c r="R20" s="14"/>
    </row>
    <row r="21" spans="1:18">
      <c r="A21" s="1"/>
      <c r="B21" s="17">
        <f t="shared" si="0"/>
        <v>14</v>
      </c>
      <c r="C21" s="23" t="s">
        <v>6</v>
      </c>
      <c r="D21" s="20" t="s">
        <v>42</v>
      </c>
      <c r="E21" s="20" t="s">
        <v>170</v>
      </c>
      <c r="F21" s="20" t="s">
        <v>281</v>
      </c>
      <c r="G21" s="20" t="s">
        <v>340</v>
      </c>
      <c r="H21" s="20" t="s">
        <v>438</v>
      </c>
      <c r="I21" s="14" t="s">
        <v>672</v>
      </c>
      <c r="J21" s="20" t="s">
        <v>483</v>
      </c>
      <c r="K21" s="20" t="s">
        <v>598</v>
      </c>
      <c r="L21" s="20">
        <v>1</v>
      </c>
      <c r="M21" s="14">
        <f t="shared" si="1"/>
        <v>1000</v>
      </c>
      <c r="N21" s="20">
        <v>1100</v>
      </c>
      <c r="O21" s="54" t="s">
        <v>701</v>
      </c>
      <c r="P21" s="21" t="s">
        <v>809</v>
      </c>
      <c r="Q21" s="21">
        <f t="shared" ref="Q21" si="8">P21*N21</f>
        <v>2.5299999999999998</v>
      </c>
      <c r="R21" s="20"/>
    </row>
    <row r="22" spans="1:18">
      <c r="A22" s="1"/>
      <c r="B22" s="16">
        <f>ROW(B22) - ROW($B$7)</f>
        <v>15</v>
      </c>
      <c r="C22" s="22" t="s">
        <v>6</v>
      </c>
      <c r="D22" s="14" t="s">
        <v>43</v>
      </c>
      <c r="E22" s="14" t="s">
        <v>171</v>
      </c>
      <c r="F22" s="14" t="s">
        <v>281</v>
      </c>
      <c r="G22" s="14" t="s">
        <v>341</v>
      </c>
      <c r="H22" s="14" t="s">
        <v>435</v>
      </c>
      <c r="I22" s="14" t="s">
        <v>672</v>
      </c>
      <c r="J22" s="14" t="s">
        <v>484</v>
      </c>
      <c r="K22" s="14" t="s">
        <v>599</v>
      </c>
      <c r="L22" s="14">
        <v>1</v>
      </c>
      <c r="M22" s="14">
        <f t="shared" si="1"/>
        <v>1000</v>
      </c>
      <c r="N22" s="14">
        <v>1010</v>
      </c>
      <c r="O22" s="54" t="s">
        <v>701</v>
      </c>
      <c r="P22" s="15" t="s">
        <v>810</v>
      </c>
      <c r="Q22" s="15">
        <f>P22*N22</f>
        <v>29.290000000000003</v>
      </c>
      <c r="R22" s="14"/>
    </row>
    <row r="23" spans="1:18">
      <c r="A23" s="1"/>
      <c r="B23" s="17">
        <f t="shared" si="0"/>
        <v>16</v>
      </c>
      <c r="C23" s="23" t="s">
        <v>6</v>
      </c>
      <c r="D23" s="20" t="s">
        <v>44</v>
      </c>
      <c r="E23" s="20" t="s">
        <v>172</v>
      </c>
      <c r="F23" s="20" t="s">
        <v>284</v>
      </c>
      <c r="G23" s="20" t="s">
        <v>342</v>
      </c>
      <c r="H23" s="20" t="s">
        <v>435</v>
      </c>
      <c r="I23" s="14" t="s">
        <v>672</v>
      </c>
      <c r="J23" s="20" t="s">
        <v>485</v>
      </c>
      <c r="K23" s="20" t="s">
        <v>596</v>
      </c>
      <c r="L23" s="20">
        <v>8</v>
      </c>
      <c r="M23" s="14">
        <f t="shared" si="1"/>
        <v>8000</v>
      </c>
      <c r="N23" s="20">
        <v>8005</v>
      </c>
      <c r="O23" s="54" t="s">
        <v>701</v>
      </c>
      <c r="P23" s="21" t="s">
        <v>811</v>
      </c>
      <c r="Q23" s="21">
        <f t="shared" ref="Q23" si="9">P23*N23</f>
        <v>766.07849999999996</v>
      </c>
      <c r="R23" s="20"/>
    </row>
    <row r="24" spans="1:18">
      <c r="A24" s="1"/>
      <c r="B24" s="16">
        <f>ROW(B24) - ROW($B$7)</f>
        <v>17</v>
      </c>
      <c r="C24" s="22" t="s">
        <v>6</v>
      </c>
      <c r="D24" s="14" t="s">
        <v>45</v>
      </c>
      <c r="E24" s="14" t="s">
        <v>173</v>
      </c>
      <c r="F24" s="14" t="s">
        <v>281</v>
      </c>
      <c r="G24" s="14" t="s">
        <v>343</v>
      </c>
      <c r="H24" s="14" t="s">
        <v>435</v>
      </c>
      <c r="I24" s="14" t="s">
        <v>672</v>
      </c>
      <c r="J24" s="14" t="s">
        <v>486</v>
      </c>
      <c r="K24" s="14" t="s">
        <v>600</v>
      </c>
      <c r="L24" s="14">
        <v>5</v>
      </c>
      <c r="M24" s="14">
        <f t="shared" si="1"/>
        <v>5000</v>
      </c>
      <c r="N24" s="14">
        <v>5050</v>
      </c>
      <c r="O24" s="54" t="s">
        <v>701</v>
      </c>
      <c r="P24" s="15" t="s">
        <v>812</v>
      </c>
      <c r="Q24" s="15">
        <f>P24*N24</f>
        <v>52.015000000000001</v>
      </c>
      <c r="R24" s="14"/>
    </row>
    <row r="25" spans="1:18" ht="24">
      <c r="A25" s="1"/>
      <c r="B25" s="17">
        <f t="shared" si="0"/>
        <v>18</v>
      </c>
      <c r="C25" s="23" t="s">
        <v>6</v>
      </c>
      <c r="D25" s="20" t="s">
        <v>46</v>
      </c>
      <c r="E25" s="20" t="s">
        <v>174</v>
      </c>
      <c r="F25" s="20" t="s">
        <v>281</v>
      </c>
      <c r="G25" s="20" t="s">
        <v>344</v>
      </c>
      <c r="H25" s="20" t="s">
        <v>435</v>
      </c>
      <c r="I25" s="14" t="s">
        <v>672</v>
      </c>
      <c r="J25" s="20" t="s">
        <v>487</v>
      </c>
      <c r="K25" s="20" t="s">
        <v>601</v>
      </c>
      <c r="L25" s="20">
        <v>1</v>
      </c>
      <c r="M25" s="14">
        <f t="shared" si="1"/>
        <v>1000</v>
      </c>
      <c r="N25" s="20">
        <v>1010</v>
      </c>
      <c r="O25" s="54" t="s">
        <v>701</v>
      </c>
      <c r="P25" s="21" t="s">
        <v>813</v>
      </c>
      <c r="Q25" s="21">
        <f t="shared" ref="Q25" si="10">P25*N25</f>
        <v>35.047000000000004</v>
      </c>
      <c r="R25" s="20"/>
    </row>
    <row r="26" spans="1:18">
      <c r="A26" s="1"/>
      <c r="B26" s="16">
        <f>ROW(B26) - ROW($B$7)</f>
        <v>19</v>
      </c>
      <c r="C26" s="22" t="s">
        <v>6</v>
      </c>
      <c r="D26" s="14" t="s">
        <v>47</v>
      </c>
      <c r="E26" s="14" t="s">
        <v>175</v>
      </c>
      <c r="F26" s="14" t="s">
        <v>281</v>
      </c>
      <c r="G26" s="14" t="s">
        <v>345</v>
      </c>
      <c r="H26" s="14" t="s">
        <v>438</v>
      </c>
      <c r="I26" s="14" t="s">
        <v>672</v>
      </c>
      <c r="J26" s="14" t="s">
        <v>488</v>
      </c>
      <c r="K26" s="14" t="s">
        <v>588</v>
      </c>
      <c r="L26" s="14">
        <v>3</v>
      </c>
      <c r="M26" s="14">
        <f t="shared" si="1"/>
        <v>3000</v>
      </c>
      <c r="N26" s="14">
        <v>3020</v>
      </c>
      <c r="O26" s="54" t="s">
        <v>701</v>
      </c>
      <c r="P26" s="15" t="s">
        <v>814</v>
      </c>
      <c r="Q26" s="15">
        <f>P26*N26</f>
        <v>50.433999999999997</v>
      </c>
      <c r="R26" s="14"/>
    </row>
    <row r="27" spans="1:18" ht="24">
      <c r="A27" s="1"/>
      <c r="B27" s="17">
        <f t="shared" si="0"/>
        <v>20</v>
      </c>
      <c r="C27" s="23" t="s">
        <v>6</v>
      </c>
      <c r="D27" s="20" t="s">
        <v>48</v>
      </c>
      <c r="E27" s="20" t="s">
        <v>176</v>
      </c>
      <c r="F27" s="20" t="s">
        <v>281</v>
      </c>
      <c r="G27" s="20" t="s">
        <v>346</v>
      </c>
      <c r="H27" s="20" t="s">
        <v>435</v>
      </c>
      <c r="I27" s="14" t="s">
        <v>672</v>
      </c>
      <c r="J27" s="20" t="s">
        <v>489</v>
      </c>
      <c r="K27" s="20" t="s">
        <v>602</v>
      </c>
      <c r="L27" s="20">
        <v>2</v>
      </c>
      <c r="M27" s="14">
        <f t="shared" si="1"/>
        <v>2000</v>
      </c>
      <c r="N27" s="20">
        <v>2050</v>
      </c>
      <c r="O27" s="54" t="s">
        <v>701</v>
      </c>
      <c r="P27" s="21" t="s">
        <v>815</v>
      </c>
      <c r="Q27" s="21">
        <f t="shared" ref="Q27" si="11">P27*N27</f>
        <v>16.605</v>
      </c>
      <c r="R27" s="20"/>
    </row>
    <row r="28" spans="1:18" ht="24">
      <c r="A28" s="1"/>
      <c r="B28" s="16">
        <f>ROW(B28) - ROW($B$7)</f>
        <v>21</v>
      </c>
      <c r="C28" s="23" t="s">
        <v>6</v>
      </c>
      <c r="D28" s="14" t="s">
        <v>49</v>
      </c>
      <c r="E28" s="14" t="s">
        <v>177</v>
      </c>
      <c r="F28" s="14" t="s">
        <v>281</v>
      </c>
      <c r="G28" s="14" t="s">
        <v>347</v>
      </c>
      <c r="H28" s="14" t="s">
        <v>435</v>
      </c>
      <c r="I28" s="14" t="s">
        <v>672</v>
      </c>
      <c r="J28" s="14" t="s">
        <v>690</v>
      </c>
      <c r="K28" s="14" t="s">
        <v>603</v>
      </c>
      <c r="L28" s="14">
        <v>3</v>
      </c>
      <c r="M28" s="14">
        <f t="shared" si="1"/>
        <v>3000</v>
      </c>
      <c r="N28" s="14">
        <v>3020</v>
      </c>
      <c r="O28" s="54" t="s">
        <v>701</v>
      </c>
      <c r="P28" s="15" t="s">
        <v>718</v>
      </c>
      <c r="Q28" s="15">
        <f>P28*N28</f>
        <v>54.058</v>
      </c>
      <c r="R28" s="14"/>
    </row>
    <row r="29" spans="1:18">
      <c r="A29" s="1"/>
      <c r="B29" s="17">
        <f t="shared" si="0"/>
        <v>22</v>
      </c>
      <c r="C29" s="23" t="s">
        <v>6</v>
      </c>
      <c r="D29" s="20" t="s">
        <v>50</v>
      </c>
      <c r="E29" s="20" t="s">
        <v>178</v>
      </c>
      <c r="F29" s="20" t="s">
        <v>281</v>
      </c>
      <c r="G29" s="20" t="s">
        <v>348</v>
      </c>
      <c r="H29" s="20" t="s">
        <v>438</v>
      </c>
      <c r="I29" s="14" t="s">
        <v>672</v>
      </c>
      <c r="J29" s="20" t="s">
        <v>490</v>
      </c>
      <c r="K29" s="20" t="s">
        <v>604</v>
      </c>
      <c r="L29" s="20">
        <v>1</v>
      </c>
      <c r="M29" s="14">
        <f t="shared" si="1"/>
        <v>1000</v>
      </c>
      <c r="N29" s="20">
        <v>1020</v>
      </c>
      <c r="O29" s="54" t="s">
        <v>701</v>
      </c>
      <c r="P29" s="21" t="s">
        <v>703</v>
      </c>
      <c r="Q29" s="21">
        <f t="shared" ref="Q29" si="12">P29*N29</f>
        <v>17.544</v>
      </c>
      <c r="R29" s="20"/>
    </row>
    <row r="30" spans="1:18">
      <c r="A30" s="1"/>
      <c r="B30" s="16">
        <f>ROW(B30) - ROW($B$7)</f>
        <v>23</v>
      </c>
      <c r="C30" s="23" t="s">
        <v>6</v>
      </c>
      <c r="D30" s="14" t="s">
        <v>51</v>
      </c>
      <c r="E30" s="14" t="s">
        <v>179</v>
      </c>
      <c r="F30" s="14" t="s">
        <v>285</v>
      </c>
      <c r="G30" s="14" t="s">
        <v>349</v>
      </c>
      <c r="H30" s="14" t="s">
        <v>439</v>
      </c>
      <c r="I30" s="14" t="s">
        <v>672</v>
      </c>
      <c r="J30" s="14" t="s">
        <v>491</v>
      </c>
      <c r="K30" s="14" t="s">
        <v>605</v>
      </c>
      <c r="L30" s="14">
        <v>2</v>
      </c>
      <c r="M30" s="14">
        <f t="shared" si="1"/>
        <v>2000</v>
      </c>
      <c r="N30" s="14">
        <v>2005</v>
      </c>
      <c r="O30" s="54" t="s">
        <v>701</v>
      </c>
      <c r="P30" s="15" t="s">
        <v>816</v>
      </c>
      <c r="Q30" s="15">
        <f>P30*N30</f>
        <v>228.971</v>
      </c>
      <c r="R30" s="14"/>
    </row>
    <row r="31" spans="1:18">
      <c r="A31" s="1"/>
      <c r="B31" s="17">
        <f t="shared" si="0"/>
        <v>24</v>
      </c>
      <c r="C31" s="23" t="s">
        <v>6</v>
      </c>
      <c r="D31" s="20" t="s">
        <v>52</v>
      </c>
      <c r="E31" s="20" t="s">
        <v>180</v>
      </c>
      <c r="F31" s="20" t="s">
        <v>281</v>
      </c>
      <c r="G31" s="20" t="s">
        <v>350</v>
      </c>
      <c r="H31" s="20" t="s">
        <v>435</v>
      </c>
      <c r="I31" s="14" t="s">
        <v>672</v>
      </c>
      <c r="J31" s="20" t="s">
        <v>492</v>
      </c>
      <c r="K31" s="20" t="s">
        <v>606</v>
      </c>
      <c r="L31" s="20">
        <v>2</v>
      </c>
      <c r="M31" s="14">
        <f t="shared" si="1"/>
        <v>2000</v>
      </c>
      <c r="N31" s="20">
        <v>2050</v>
      </c>
      <c r="O31" s="54" t="s">
        <v>701</v>
      </c>
      <c r="P31" s="21" t="s">
        <v>817</v>
      </c>
      <c r="Q31" s="21">
        <f t="shared" ref="Q31" si="13">P31*N31</f>
        <v>25.419999999999998</v>
      </c>
      <c r="R31" s="20"/>
    </row>
    <row r="32" spans="1:18">
      <c r="A32" s="1"/>
      <c r="B32" s="16">
        <f>ROW(B32) - ROW($B$7)</f>
        <v>25</v>
      </c>
      <c r="C32" s="23" t="s">
        <v>6</v>
      </c>
      <c r="D32" s="14" t="s">
        <v>53</v>
      </c>
      <c r="E32" s="14" t="s">
        <v>181</v>
      </c>
      <c r="F32" s="14" t="s">
        <v>281</v>
      </c>
      <c r="G32" s="14" t="s">
        <v>351</v>
      </c>
      <c r="H32" s="14" t="s">
        <v>438</v>
      </c>
      <c r="I32" s="14" t="s">
        <v>672</v>
      </c>
      <c r="J32" s="14" t="s">
        <v>493</v>
      </c>
      <c r="K32" s="14" t="s">
        <v>607</v>
      </c>
      <c r="L32" s="14">
        <v>2</v>
      </c>
      <c r="M32" s="14">
        <f t="shared" si="1"/>
        <v>2000</v>
      </c>
      <c r="N32" s="14">
        <v>2100</v>
      </c>
      <c r="O32" s="54" t="s">
        <v>701</v>
      </c>
      <c r="P32" s="15" t="s">
        <v>818</v>
      </c>
      <c r="Q32" s="15">
        <f>P32*N32</f>
        <v>3.99</v>
      </c>
      <c r="R32" s="14"/>
    </row>
    <row r="33" spans="1:18" ht="24">
      <c r="A33" s="1"/>
      <c r="B33" s="17">
        <f t="shared" si="0"/>
        <v>26</v>
      </c>
      <c r="C33" s="23" t="s">
        <v>6</v>
      </c>
      <c r="D33" s="20" t="s">
        <v>54</v>
      </c>
      <c r="E33" s="20" t="s">
        <v>182</v>
      </c>
      <c r="F33" s="20" t="s">
        <v>281</v>
      </c>
      <c r="G33" s="20" t="s">
        <v>352</v>
      </c>
      <c r="H33" s="20" t="s">
        <v>438</v>
      </c>
      <c r="I33" s="14" t="s">
        <v>672</v>
      </c>
      <c r="J33" s="20" t="s">
        <v>494</v>
      </c>
      <c r="K33" s="20" t="s">
        <v>608</v>
      </c>
      <c r="L33" s="20">
        <v>2</v>
      </c>
      <c r="M33" s="14">
        <f t="shared" si="1"/>
        <v>2000</v>
      </c>
      <c r="N33" s="20">
        <v>2100</v>
      </c>
      <c r="O33" s="54" t="s">
        <v>701</v>
      </c>
      <c r="P33" s="21" t="s">
        <v>819</v>
      </c>
      <c r="Q33" s="21">
        <f t="shared" ref="Q33" si="14">P33*N33</f>
        <v>5.0399999999999991</v>
      </c>
      <c r="R33" s="20"/>
    </row>
    <row r="34" spans="1:18" ht="24">
      <c r="A34" s="1"/>
      <c r="B34" s="16">
        <f>ROW(B34) - ROW($B$7)</f>
        <v>27</v>
      </c>
      <c r="C34" s="23" t="s">
        <v>6</v>
      </c>
      <c r="D34" s="14" t="s">
        <v>55</v>
      </c>
      <c r="E34" s="14" t="s">
        <v>183</v>
      </c>
      <c r="F34" s="14" t="s">
        <v>280</v>
      </c>
      <c r="G34" s="14" t="s">
        <v>353</v>
      </c>
      <c r="H34" s="14" t="s">
        <v>438</v>
      </c>
      <c r="I34" s="14" t="s">
        <v>672</v>
      </c>
      <c r="J34" s="14" t="s">
        <v>495</v>
      </c>
      <c r="K34" s="14" t="s">
        <v>594</v>
      </c>
      <c r="L34" s="14">
        <v>8</v>
      </c>
      <c r="M34" s="14">
        <f t="shared" si="1"/>
        <v>8000</v>
      </c>
      <c r="N34" s="14">
        <v>8100</v>
      </c>
      <c r="O34" s="54" t="s">
        <v>701</v>
      </c>
      <c r="P34" s="15" t="s">
        <v>744</v>
      </c>
      <c r="Q34" s="15">
        <f>P34*N34</f>
        <v>5.67</v>
      </c>
      <c r="R34" s="14"/>
    </row>
    <row r="35" spans="1:18">
      <c r="A35" s="1"/>
      <c r="B35" s="17">
        <f t="shared" si="0"/>
        <v>28</v>
      </c>
      <c r="C35" s="23" t="s">
        <v>6</v>
      </c>
      <c r="D35" s="20" t="s">
        <v>56</v>
      </c>
      <c r="E35" s="20" t="s">
        <v>184</v>
      </c>
      <c r="F35" s="20" t="s">
        <v>280</v>
      </c>
      <c r="G35" s="20" t="s">
        <v>354</v>
      </c>
      <c r="H35" s="20" t="s">
        <v>438</v>
      </c>
      <c r="I35" s="14" t="s">
        <v>672</v>
      </c>
      <c r="J35" s="20" t="s">
        <v>496</v>
      </c>
      <c r="K35" s="20" t="s">
        <v>588</v>
      </c>
      <c r="L35" s="20">
        <v>1</v>
      </c>
      <c r="M35" s="14">
        <f t="shared" si="1"/>
        <v>1000</v>
      </c>
      <c r="N35" s="20">
        <v>1100</v>
      </c>
      <c r="O35" s="54" t="s">
        <v>701</v>
      </c>
      <c r="P35" s="21" t="s">
        <v>820</v>
      </c>
      <c r="Q35" s="21">
        <f t="shared" ref="Q35" si="15">P35*N35</f>
        <v>6.6000000000000005</v>
      </c>
      <c r="R35" s="20"/>
    </row>
    <row r="36" spans="1:18">
      <c r="A36" s="1"/>
      <c r="B36" s="16">
        <f>ROW(B36) - ROW($B$7)</f>
        <v>29</v>
      </c>
      <c r="C36" s="22" t="s">
        <v>7</v>
      </c>
      <c r="D36" s="14" t="s">
        <v>57</v>
      </c>
      <c r="E36" s="14" t="s">
        <v>185</v>
      </c>
      <c r="F36" s="14" t="s">
        <v>280</v>
      </c>
      <c r="G36" s="14" t="s">
        <v>355</v>
      </c>
      <c r="H36" s="14" t="s">
        <v>438</v>
      </c>
      <c r="I36" s="14" t="s">
        <v>672</v>
      </c>
      <c r="J36" s="14" t="s">
        <v>497</v>
      </c>
      <c r="K36" s="14" t="s">
        <v>589</v>
      </c>
      <c r="L36" s="14">
        <v>1</v>
      </c>
      <c r="M36" s="14">
        <f t="shared" si="1"/>
        <v>1000</v>
      </c>
      <c r="N36" s="14">
        <v>1020</v>
      </c>
      <c r="O36" s="54" t="s">
        <v>701</v>
      </c>
      <c r="P36" s="15" t="s">
        <v>821</v>
      </c>
      <c r="Q36" s="15">
        <f>P36*N36</f>
        <v>15.911999999999999</v>
      </c>
      <c r="R36" s="14"/>
    </row>
    <row r="37" spans="1:18" ht="25.5">
      <c r="A37" s="1"/>
      <c r="B37" s="17">
        <f t="shared" si="0"/>
        <v>30</v>
      </c>
      <c r="C37" s="23" t="s">
        <v>7</v>
      </c>
      <c r="D37" s="50" t="s">
        <v>58</v>
      </c>
      <c r="E37" s="50" t="s">
        <v>186</v>
      </c>
      <c r="F37" s="50" t="s">
        <v>280</v>
      </c>
      <c r="G37" s="50" t="s">
        <v>356</v>
      </c>
      <c r="H37" s="50" t="s">
        <v>435</v>
      </c>
      <c r="I37" s="50" t="s">
        <v>672</v>
      </c>
      <c r="J37" s="50" t="s">
        <v>498</v>
      </c>
      <c r="K37" s="50" t="s">
        <v>609</v>
      </c>
      <c r="L37" s="50">
        <v>7</v>
      </c>
      <c r="M37" s="14">
        <f t="shared" si="1"/>
        <v>7000</v>
      </c>
      <c r="N37" s="50" t="s">
        <v>871</v>
      </c>
      <c r="O37" s="54" t="s">
        <v>672</v>
      </c>
      <c r="P37" s="51" t="s">
        <v>672</v>
      </c>
      <c r="Q37" s="51" t="s">
        <v>672</v>
      </c>
      <c r="R37" s="53" t="s">
        <v>688</v>
      </c>
    </row>
    <row r="38" spans="1:18" ht="25.5">
      <c r="A38" s="1"/>
      <c r="B38" s="16">
        <f>ROW(B38) - ROW($B$7)</f>
        <v>31</v>
      </c>
      <c r="C38" s="22" t="s">
        <v>6</v>
      </c>
      <c r="D38" s="45" t="s">
        <v>59</v>
      </c>
      <c r="E38" s="45" t="s">
        <v>162</v>
      </c>
      <c r="F38" s="45" t="s">
        <v>281</v>
      </c>
      <c r="G38" s="45" t="s">
        <v>332</v>
      </c>
      <c r="H38" s="45" t="s">
        <v>435</v>
      </c>
      <c r="I38" s="45" t="s">
        <v>672</v>
      </c>
      <c r="J38" s="45" t="s">
        <v>476</v>
      </c>
      <c r="K38" s="45" t="s">
        <v>609</v>
      </c>
      <c r="L38" s="45">
        <v>1</v>
      </c>
      <c r="M38" s="14">
        <f t="shared" si="1"/>
        <v>1000</v>
      </c>
      <c r="N38" s="45" t="s">
        <v>869</v>
      </c>
      <c r="O38" s="55" t="s">
        <v>672</v>
      </c>
      <c r="P38" s="52" t="s">
        <v>672</v>
      </c>
      <c r="Q38" s="52" t="s">
        <v>672</v>
      </c>
      <c r="R38" s="53" t="s">
        <v>688</v>
      </c>
    </row>
    <row r="39" spans="1:18" ht="36">
      <c r="A39" s="1"/>
      <c r="B39" s="17">
        <f t="shared" si="0"/>
        <v>32</v>
      </c>
      <c r="C39" s="23" t="s">
        <v>9</v>
      </c>
      <c r="D39" s="20" t="s">
        <v>60</v>
      </c>
      <c r="E39" s="20" t="s">
        <v>187</v>
      </c>
      <c r="F39" s="20" t="s">
        <v>286</v>
      </c>
      <c r="G39" s="20" t="s">
        <v>357</v>
      </c>
      <c r="H39" s="20" t="s">
        <v>440</v>
      </c>
      <c r="I39" s="20" t="s">
        <v>672</v>
      </c>
      <c r="J39" s="20" t="s">
        <v>499</v>
      </c>
      <c r="K39" s="20" t="s">
        <v>672</v>
      </c>
      <c r="L39" s="20">
        <v>9</v>
      </c>
      <c r="M39" s="14">
        <f t="shared" si="1"/>
        <v>9000</v>
      </c>
      <c r="N39" s="20">
        <v>9020</v>
      </c>
      <c r="O39" s="54" t="s">
        <v>701</v>
      </c>
      <c r="P39" s="21" t="s">
        <v>822</v>
      </c>
      <c r="Q39" s="21">
        <f t="shared" ref="Q39" si="16">P39*N39</f>
        <v>92.004000000000005</v>
      </c>
      <c r="R39" s="20"/>
    </row>
    <row r="40" spans="1:18" ht="36">
      <c r="A40" s="1"/>
      <c r="B40" s="16">
        <f>ROW(B40) - ROW($B$7)</f>
        <v>33</v>
      </c>
      <c r="C40" s="22" t="s">
        <v>10</v>
      </c>
      <c r="D40" s="14" t="s">
        <v>61</v>
      </c>
      <c r="E40" s="14" t="s">
        <v>188</v>
      </c>
      <c r="F40" s="14" t="s">
        <v>287</v>
      </c>
      <c r="G40" s="14" t="s">
        <v>358</v>
      </c>
      <c r="H40" s="14" t="s">
        <v>441</v>
      </c>
      <c r="I40" s="20" t="s">
        <v>672</v>
      </c>
      <c r="J40" s="14" t="s">
        <v>500</v>
      </c>
      <c r="K40" s="20" t="s">
        <v>672</v>
      </c>
      <c r="L40" s="14">
        <v>1</v>
      </c>
      <c r="M40" s="14">
        <f t="shared" si="1"/>
        <v>1000</v>
      </c>
      <c r="N40" s="14">
        <v>1020</v>
      </c>
      <c r="O40" s="54" t="s">
        <v>701</v>
      </c>
      <c r="P40" s="15" t="s">
        <v>823</v>
      </c>
      <c r="Q40" s="15">
        <f>P40*N40</f>
        <v>16.625999999999998</v>
      </c>
      <c r="R40" s="14"/>
    </row>
    <row r="41" spans="1:18" ht="25.5">
      <c r="A41" s="1"/>
      <c r="B41" s="17">
        <f t="shared" si="0"/>
        <v>34</v>
      </c>
      <c r="C41" s="23" t="s">
        <v>10</v>
      </c>
      <c r="D41" s="50" t="s">
        <v>62</v>
      </c>
      <c r="E41" s="50" t="s">
        <v>189</v>
      </c>
      <c r="F41" s="50" t="s">
        <v>288</v>
      </c>
      <c r="G41" s="50" t="s">
        <v>359</v>
      </c>
      <c r="H41" s="50" t="s">
        <v>442</v>
      </c>
      <c r="I41" s="50" t="s">
        <v>672</v>
      </c>
      <c r="J41" s="50" t="s">
        <v>501</v>
      </c>
      <c r="K41" s="50" t="s">
        <v>609</v>
      </c>
      <c r="L41" s="50">
        <v>1</v>
      </c>
      <c r="M41" s="14">
        <f t="shared" si="1"/>
        <v>1000</v>
      </c>
      <c r="N41" s="50" t="s">
        <v>869</v>
      </c>
      <c r="O41" s="54" t="s">
        <v>672</v>
      </c>
      <c r="P41" s="51" t="s">
        <v>672</v>
      </c>
      <c r="Q41" s="51" t="s">
        <v>672</v>
      </c>
      <c r="R41" s="53" t="s">
        <v>688</v>
      </c>
    </row>
    <row r="42" spans="1:18" ht="24">
      <c r="A42" s="1"/>
      <c r="B42" s="16">
        <f>ROW(B42) - ROW($B$7)</f>
        <v>35</v>
      </c>
      <c r="C42" s="22" t="s">
        <v>11</v>
      </c>
      <c r="D42" s="14" t="s">
        <v>63</v>
      </c>
      <c r="E42" s="14" t="s">
        <v>190</v>
      </c>
      <c r="F42" s="14" t="s">
        <v>289</v>
      </c>
      <c r="G42" s="14" t="s">
        <v>360</v>
      </c>
      <c r="H42" s="14" t="s">
        <v>435</v>
      </c>
      <c r="I42" s="14" t="s">
        <v>672</v>
      </c>
      <c r="J42" s="14" t="s">
        <v>502</v>
      </c>
      <c r="K42" s="14" t="s">
        <v>672</v>
      </c>
      <c r="L42" s="14">
        <v>2</v>
      </c>
      <c r="M42" s="14">
        <f t="shared" si="1"/>
        <v>2000</v>
      </c>
      <c r="N42" s="14">
        <v>2100</v>
      </c>
      <c r="O42" s="54" t="s">
        <v>701</v>
      </c>
      <c r="P42" s="15" t="s">
        <v>824</v>
      </c>
      <c r="Q42" s="15">
        <f>P42*N42</f>
        <v>13.23</v>
      </c>
      <c r="R42" s="14"/>
    </row>
    <row r="43" spans="1:18" ht="36">
      <c r="A43" s="1"/>
      <c r="B43" s="17">
        <f t="shared" si="0"/>
        <v>36</v>
      </c>
      <c r="C43" s="23" t="s">
        <v>687</v>
      </c>
      <c r="D43" s="20" t="s">
        <v>64</v>
      </c>
      <c r="E43" s="20" t="s">
        <v>191</v>
      </c>
      <c r="F43" s="20" t="s">
        <v>674</v>
      </c>
      <c r="G43" s="20">
        <v>5027740891</v>
      </c>
      <c r="H43" s="20" t="s">
        <v>443</v>
      </c>
      <c r="I43" s="14" t="s">
        <v>672</v>
      </c>
      <c r="J43" s="20" t="s">
        <v>691</v>
      </c>
      <c r="K43" s="14" t="s">
        <v>672</v>
      </c>
      <c r="L43" s="20">
        <v>1</v>
      </c>
      <c r="M43" s="14">
        <f t="shared" si="1"/>
        <v>1000</v>
      </c>
      <c r="N43" s="20">
        <v>1002</v>
      </c>
      <c r="O43" s="54" t="s">
        <v>701</v>
      </c>
      <c r="P43" s="21" t="s">
        <v>825</v>
      </c>
      <c r="Q43" s="21">
        <f t="shared" ref="Q43" si="17">P43*N43</f>
        <v>813.32339999999999</v>
      </c>
      <c r="R43" s="20"/>
    </row>
    <row r="44" spans="1:18" ht="60">
      <c r="A44" s="1"/>
      <c r="B44" s="16">
        <f>ROW(B44) - ROW($B$7)</f>
        <v>37</v>
      </c>
      <c r="C44" s="22" t="s">
        <v>12</v>
      </c>
      <c r="D44" s="14" t="s">
        <v>65</v>
      </c>
      <c r="E44" s="14" t="s">
        <v>192</v>
      </c>
      <c r="F44" s="20" t="s">
        <v>674</v>
      </c>
      <c r="G44" s="14" t="s">
        <v>290</v>
      </c>
      <c r="H44" s="14" t="s">
        <v>444</v>
      </c>
      <c r="I44" s="14" t="s">
        <v>672</v>
      </c>
      <c r="J44" s="14" t="s">
        <v>503</v>
      </c>
      <c r="K44" s="14" t="s">
        <v>672</v>
      </c>
      <c r="L44" s="14">
        <v>1</v>
      </c>
      <c r="M44" s="14">
        <f t="shared" si="1"/>
        <v>1000</v>
      </c>
      <c r="N44" s="14">
        <v>1005</v>
      </c>
      <c r="O44" s="54" t="s">
        <v>701</v>
      </c>
      <c r="P44" s="15" t="s">
        <v>826</v>
      </c>
      <c r="Q44" s="15">
        <f>P44*N44</f>
        <v>48.7425</v>
      </c>
      <c r="R44" s="14"/>
    </row>
    <row r="45" spans="1:18" ht="36">
      <c r="A45" s="1"/>
      <c r="B45" s="17">
        <f t="shared" si="0"/>
        <v>38</v>
      </c>
      <c r="C45" s="23" t="s">
        <v>13</v>
      </c>
      <c r="D45" s="20" t="s">
        <v>66</v>
      </c>
      <c r="E45" s="20" t="s">
        <v>193</v>
      </c>
      <c r="F45" s="20" t="s">
        <v>674</v>
      </c>
      <c r="G45" s="20" t="s">
        <v>291</v>
      </c>
      <c r="H45" s="20" t="s">
        <v>445</v>
      </c>
      <c r="I45" s="14" t="s">
        <v>672</v>
      </c>
      <c r="J45" s="20" t="s">
        <v>504</v>
      </c>
      <c r="K45" s="14" t="s">
        <v>672</v>
      </c>
      <c r="L45" s="20">
        <v>1</v>
      </c>
      <c r="M45" s="14">
        <f t="shared" si="1"/>
        <v>1000</v>
      </c>
      <c r="N45" s="20">
        <v>1005</v>
      </c>
      <c r="O45" s="54" t="s">
        <v>701</v>
      </c>
      <c r="P45" s="21" t="s">
        <v>827</v>
      </c>
      <c r="Q45" s="21">
        <f t="shared" ref="Q45" si="18">P45*N45</f>
        <v>140.499</v>
      </c>
      <c r="R45" s="20"/>
    </row>
    <row r="46" spans="1:18" ht="25.5">
      <c r="A46" s="1"/>
      <c r="B46" s="16">
        <f>ROW(B46) - ROW($B$7)</f>
        <v>39</v>
      </c>
      <c r="C46" s="22" t="s">
        <v>14</v>
      </c>
      <c r="D46" s="14" t="s">
        <v>67</v>
      </c>
      <c r="E46" s="14" t="s">
        <v>194</v>
      </c>
      <c r="F46" s="20" t="s">
        <v>674</v>
      </c>
      <c r="G46" s="14" t="s">
        <v>292</v>
      </c>
      <c r="H46" s="14" t="s">
        <v>446</v>
      </c>
      <c r="I46" s="14" t="s">
        <v>672</v>
      </c>
      <c r="J46" s="14" t="s">
        <v>505</v>
      </c>
      <c r="K46" s="14" t="s">
        <v>672</v>
      </c>
      <c r="L46" s="14">
        <v>1</v>
      </c>
      <c r="M46" s="14">
        <f t="shared" si="1"/>
        <v>1000</v>
      </c>
      <c r="N46" s="14">
        <v>1002</v>
      </c>
      <c r="O46" s="54" t="s">
        <v>701</v>
      </c>
      <c r="P46" s="15" t="s">
        <v>828</v>
      </c>
      <c r="Q46" s="15">
        <f>P46*N46</f>
        <v>177.95520000000002</v>
      </c>
      <c r="R46" s="14"/>
    </row>
    <row r="47" spans="1:18" ht="25.5">
      <c r="A47" s="1"/>
      <c r="B47" s="17">
        <f t="shared" si="0"/>
        <v>40</v>
      </c>
      <c r="C47" s="23" t="s">
        <v>15</v>
      </c>
      <c r="D47" s="20" t="s">
        <v>68</v>
      </c>
      <c r="E47" s="20" t="s">
        <v>195</v>
      </c>
      <c r="F47" s="20" t="s">
        <v>674</v>
      </c>
      <c r="G47" s="20" t="s">
        <v>293</v>
      </c>
      <c r="H47" s="20" t="s">
        <v>446</v>
      </c>
      <c r="I47" s="14" t="s">
        <v>672</v>
      </c>
      <c r="J47" s="20" t="s">
        <v>506</v>
      </c>
      <c r="K47" s="14" t="s">
        <v>672</v>
      </c>
      <c r="L47" s="20">
        <v>2</v>
      </c>
      <c r="M47" s="14">
        <f t="shared" si="1"/>
        <v>2000</v>
      </c>
      <c r="N47" s="20">
        <v>2005</v>
      </c>
      <c r="O47" s="54" t="s">
        <v>701</v>
      </c>
      <c r="P47" s="21" t="s">
        <v>829</v>
      </c>
      <c r="Q47" s="21">
        <f t="shared" ref="Q47" si="19">P47*N47</f>
        <v>373.13049999999998</v>
      </c>
      <c r="R47" s="20"/>
    </row>
    <row r="48" spans="1:18" ht="25.5">
      <c r="A48" s="1"/>
      <c r="B48" s="17">
        <f t="shared" si="0"/>
        <v>41</v>
      </c>
      <c r="C48" s="23" t="s">
        <v>15</v>
      </c>
      <c r="D48" s="50" t="s">
        <v>69</v>
      </c>
      <c r="E48" s="50" t="s">
        <v>195</v>
      </c>
      <c r="F48" s="20" t="s">
        <v>674</v>
      </c>
      <c r="G48" s="50" t="s">
        <v>293</v>
      </c>
      <c r="H48" s="50" t="s">
        <v>446</v>
      </c>
      <c r="I48" s="50" t="s">
        <v>672</v>
      </c>
      <c r="J48" s="50" t="s">
        <v>506</v>
      </c>
      <c r="K48" s="50" t="s">
        <v>609</v>
      </c>
      <c r="L48" s="50">
        <v>1</v>
      </c>
      <c r="M48" s="14">
        <f t="shared" si="1"/>
        <v>1000</v>
      </c>
      <c r="N48" s="50" t="s">
        <v>869</v>
      </c>
      <c r="O48" s="54" t="s">
        <v>672</v>
      </c>
      <c r="P48" s="51" t="s">
        <v>672</v>
      </c>
      <c r="Q48" s="51" t="s">
        <v>672</v>
      </c>
      <c r="R48" s="53" t="s">
        <v>688</v>
      </c>
    </row>
    <row r="49" spans="1:18" ht="25.5">
      <c r="A49" s="1"/>
      <c r="B49" s="17">
        <f t="shared" si="0"/>
        <v>42</v>
      </c>
      <c r="C49" s="23" t="s">
        <v>16</v>
      </c>
      <c r="D49" s="20" t="s">
        <v>70</v>
      </c>
      <c r="E49" s="20" t="s">
        <v>196</v>
      </c>
      <c r="F49" s="20" t="s">
        <v>674</v>
      </c>
      <c r="G49" s="20" t="s">
        <v>294</v>
      </c>
      <c r="H49" s="20" t="s">
        <v>447</v>
      </c>
      <c r="I49" s="20" t="s">
        <v>672</v>
      </c>
      <c r="J49" s="20" t="s">
        <v>507</v>
      </c>
      <c r="K49" s="20" t="s">
        <v>672</v>
      </c>
      <c r="L49" s="20">
        <v>1</v>
      </c>
      <c r="M49" s="14">
        <f t="shared" si="1"/>
        <v>1000</v>
      </c>
      <c r="N49" s="20">
        <v>1005</v>
      </c>
      <c r="O49" s="54" t="s">
        <v>701</v>
      </c>
      <c r="P49" s="21" t="s">
        <v>830</v>
      </c>
      <c r="Q49" s="21">
        <f t="shared" ref="Q49:Q50" si="20">P49*N49</f>
        <v>57.1845</v>
      </c>
      <c r="R49" s="20"/>
    </row>
    <row r="50" spans="1:18" ht="24">
      <c r="A50" s="1"/>
      <c r="B50" s="17">
        <f t="shared" si="0"/>
        <v>43</v>
      </c>
      <c r="C50" s="23" t="s">
        <v>17</v>
      </c>
      <c r="D50" s="20" t="s">
        <v>71</v>
      </c>
      <c r="E50" s="20" t="s">
        <v>197</v>
      </c>
      <c r="F50" s="20" t="s">
        <v>674</v>
      </c>
      <c r="G50" s="20" t="s">
        <v>361</v>
      </c>
      <c r="H50" s="20" t="s">
        <v>448</v>
      </c>
      <c r="I50" s="20" t="s">
        <v>672</v>
      </c>
      <c r="J50" s="20" t="s">
        <v>508</v>
      </c>
      <c r="K50" s="20" t="s">
        <v>610</v>
      </c>
      <c r="L50" s="20">
        <v>1</v>
      </c>
      <c r="M50" s="14">
        <f t="shared" si="1"/>
        <v>1000</v>
      </c>
      <c r="N50" s="20">
        <v>1002</v>
      </c>
      <c r="O50" s="54" t="s">
        <v>701</v>
      </c>
      <c r="P50" s="21" t="s">
        <v>831</v>
      </c>
      <c r="Q50" s="21">
        <f t="shared" si="20"/>
        <v>343.98660000000001</v>
      </c>
      <c r="R50" s="20"/>
    </row>
    <row r="51" spans="1:18" ht="36">
      <c r="A51" s="1"/>
      <c r="B51" s="16">
        <f>ROW(B51) - ROW($B$7)</f>
        <v>44</v>
      </c>
      <c r="C51" s="22" t="s">
        <v>18</v>
      </c>
      <c r="D51" s="14" t="s">
        <v>72</v>
      </c>
      <c r="E51" s="14" t="s">
        <v>198</v>
      </c>
      <c r="F51" s="20" t="s">
        <v>674</v>
      </c>
      <c r="G51" s="14" t="s">
        <v>295</v>
      </c>
      <c r="H51" s="14" t="s">
        <v>449</v>
      </c>
      <c r="I51" s="20" t="s">
        <v>672</v>
      </c>
      <c r="J51" s="14" t="s">
        <v>509</v>
      </c>
      <c r="K51" s="14" t="s">
        <v>611</v>
      </c>
      <c r="L51" s="14">
        <v>3</v>
      </c>
      <c r="M51" s="14">
        <f t="shared" si="1"/>
        <v>3000</v>
      </c>
      <c r="N51" s="14">
        <v>3010</v>
      </c>
      <c r="O51" s="54" t="s">
        <v>701</v>
      </c>
      <c r="P51" s="15" t="s">
        <v>738</v>
      </c>
      <c r="Q51" s="15">
        <f>P51*N51</f>
        <v>101.437</v>
      </c>
      <c r="R51" s="14"/>
    </row>
    <row r="52" spans="1:18" ht="24">
      <c r="A52" s="1"/>
      <c r="B52" s="17">
        <f t="shared" si="0"/>
        <v>45</v>
      </c>
      <c r="C52" s="22" t="s">
        <v>18</v>
      </c>
      <c r="D52" s="20" t="s">
        <v>73</v>
      </c>
      <c r="E52" s="20" t="s">
        <v>199</v>
      </c>
      <c r="F52" s="20" t="s">
        <v>674</v>
      </c>
      <c r="G52" s="20" t="s">
        <v>296</v>
      </c>
      <c r="H52" s="20" t="s">
        <v>450</v>
      </c>
      <c r="I52" s="20" t="s">
        <v>672</v>
      </c>
      <c r="J52" s="20" t="s">
        <v>510</v>
      </c>
      <c r="K52" s="20" t="s">
        <v>611</v>
      </c>
      <c r="L52" s="20">
        <v>1</v>
      </c>
      <c r="M52" s="14">
        <f t="shared" si="1"/>
        <v>1000</v>
      </c>
      <c r="N52" s="20">
        <v>1005</v>
      </c>
      <c r="O52" s="54" t="s">
        <v>701</v>
      </c>
      <c r="P52" s="21" t="s">
        <v>832</v>
      </c>
      <c r="Q52" s="21">
        <f t="shared" ref="Q52" si="21">P52*N52</f>
        <v>157.584</v>
      </c>
      <c r="R52" s="20"/>
    </row>
    <row r="53" spans="1:18" ht="36">
      <c r="A53" s="1"/>
      <c r="B53" s="16">
        <f>ROW(B53) - ROW($B$7)</f>
        <v>46</v>
      </c>
      <c r="C53" s="22" t="s">
        <v>18</v>
      </c>
      <c r="D53" s="14" t="s">
        <v>74</v>
      </c>
      <c r="E53" s="14" t="s">
        <v>200</v>
      </c>
      <c r="F53" s="20" t="s">
        <v>674</v>
      </c>
      <c r="G53" s="14" t="s">
        <v>297</v>
      </c>
      <c r="H53" s="14" t="s">
        <v>451</v>
      </c>
      <c r="I53" s="20" t="s">
        <v>672</v>
      </c>
      <c r="J53" s="14" t="s">
        <v>511</v>
      </c>
      <c r="K53" s="14" t="s">
        <v>612</v>
      </c>
      <c r="L53" s="14">
        <v>1</v>
      </c>
      <c r="M53" s="14">
        <f t="shared" si="1"/>
        <v>1000</v>
      </c>
      <c r="N53" s="14">
        <v>1010</v>
      </c>
      <c r="O53" s="54" t="s">
        <v>701</v>
      </c>
      <c r="P53" s="15" t="s">
        <v>833</v>
      </c>
      <c r="Q53" s="15">
        <f>P53*N53</f>
        <v>41.410000000000004</v>
      </c>
      <c r="R53" s="14"/>
    </row>
    <row r="54" spans="1:18" ht="25.5">
      <c r="A54" s="1"/>
      <c r="B54" s="17">
        <f t="shared" si="0"/>
        <v>47</v>
      </c>
      <c r="C54" s="23" t="s">
        <v>17</v>
      </c>
      <c r="D54" s="50" t="s">
        <v>75</v>
      </c>
      <c r="E54" s="50" t="s">
        <v>201</v>
      </c>
      <c r="F54" s="50" t="s">
        <v>289</v>
      </c>
      <c r="G54" s="50" t="s">
        <v>362</v>
      </c>
      <c r="H54" s="50" t="s">
        <v>435</v>
      </c>
      <c r="I54" s="50" t="s">
        <v>672</v>
      </c>
      <c r="J54" s="50" t="s">
        <v>512</v>
      </c>
      <c r="K54" s="50" t="s">
        <v>609</v>
      </c>
      <c r="L54" s="50">
        <v>1</v>
      </c>
      <c r="M54" s="14">
        <f t="shared" si="1"/>
        <v>1000</v>
      </c>
      <c r="N54" s="50" t="s">
        <v>869</v>
      </c>
      <c r="O54" s="54" t="s">
        <v>672</v>
      </c>
      <c r="P54" s="51" t="s">
        <v>672</v>
      </c>
      <c r="Q54" s="51" t="s">
        <v>672</v>
      </c>
      <c r="R54" s="53" t="s">
        <v>688</v>
      </c>
    </row>
    <row r="55" spans="1:18" ht="24">
      <c r="A55" s="1"/>
      <c r="B55" s="16">
        <f>ROW(B55) - ROW($B$7)</f>
        <v>48</v>
      </c>
      <c r="C55" s="22" t="s">
        <v>19</v>
      </c>
      <c r="D55" s="14" t="s">
        <v>76</v>
      </c>
      <c r="E55" s="14" t="s">
        <v>202</v>
      </c>
      <c r="F55" s="14" t="s">
        <v>298</v>
      </c>
      <c r="G55" s="14" t="s">
        <v>363</v>
      </c>
      <c r="H55" s="14" t="s">
        <v>452</v>
      </c>
      <c r="I55" s="14" t="s">
        <v>672</v>
      </c>
      <c r="J55" s="14" t="s">
        <v>513</v>
      </c>
      <c r="K55" s="14" t="s">
        <v>672</v>
      </c>
      <c r="L55" s="14">
        <v>1</v>
      </c>
      <c r="M55" s="14">
        <f t="shared" si="1"/>
        <v>1000</v>
      </c>
      <c r="N55" s="14">
        <v>1010</v>
      </c>
      <c r="O55" s="54" t="s">
        <v>701</v>
      </c>
      <c r="P55" s="15" t="s">
        <v>834</v>
      </c>
      <c r="Q55" s="15">
        <f>P55*N55</f>
        <v>21.917000000000002</v>
      </c>
      <c r="R55" s="14"/>
    </row>
    <row r="56" spans="1:18" ht="48">
      <c r="A56" s="1"/>
      <c r="B56" s="17">
        <f t="shared" si="0"/>
        <v>49</v>
      </c>
      <c r="C56" s="23" t="s">
        <v>19</v>
      </c>
      <c r="D56" s="20" t="s">
        <v>669</v>
      </c>
      <c r="E56" s="20" t="s">
        <v>203</v>
      </c>
      <c r="F56" s="20" t="s">
        <v>299</v>
      </c>
      <c r="G56" s="20" t="s">
        <v>364</v>
      </c>
      <c r="H56" s="20" t="s">
        <v>453</v>
      </c>
      <c r="I56" s="14" t="s">
        <v>672</v>
      </c>
      <c r="J56" s="20" t="s">
        <v>514</v>
      </c>
      <c r="K56" s="14" t="s">
        <v>672</v>
      </c>
      <c r="L56" s="20">
        <v>5</v>
      </c>
      <c r="M56" s="14">
        <f t="shared" si="1"/>
        <v>5000</v>
      </c>
      <c r="N56" s="20">
        <v>5020</v>
      </c>
      <c r="O56" s="54" t="s">
        <v>701</v>
      </c>
      <c r="P56" s="21" t="s">
        <v>835</v>
      </c>
      <c r="Q56" s="21">
        <f t="shared" ref="Q56" si="22">P56*N56</f>
        <v>69.777999999999992</v>
      </c>
      <c r="R56" s="20"/>
    </row>
    <row r="57" spans="1:18" ht="36">
      <c r="A57" s="1"/>
      <c r="B57" s="16">
        <f>ROW(B57) - ROW($B$7)</f>
        <v>50</v>
      </c>
      <c r="C57" s="22" t="s">
        <v>19</v>
      </c>
      <c r="D57" s="14" t="s">
        <v>77</v>
      </c>
      <c r="E57" s="14" t="s">
        <v>204</v>
      </c>
      <c r="F57" s="14" t="s">
        <v>300</v>
      </c>
      <c r="G57" s="14" t="s">
        <v>365</v>
      </c>
      <c r="H57" s="14" t="s">
        <v>454</v>
      </c>
      <c r="I57" s="14" t="s">
        <v>672</v>
      </c>
      <c r="J57" s="14" t="s">
        <v>515</v>
      </c>
      <c r="K57" s="14" t="s">
        <v>672</v>
      </c>
      <c r="L57" s="14">
        <v>2</v>
      </c>
      <c r="M57" s="14">
        <f t="shared" si="1"/>
        <v>2000</v>
      </c>
      <c r="N57" s="14">
        <v>2020</v>
      </c>
      <c r="O57" s="54" t="s">
        <v>701</v>
      </c>
      <c r="P57" s="15" t="s">
        <v>836</v>
      </c>
      <c r="Q57" s="15">
        <f>P57*N57</f>
        <v>38.380000000000003</v>
      </c>
      <c r="R57" s="14"/>
    </row>
    <row r="58" spans="1:18" ht="24">
      <c r="A58" s="1"/>
      <c r="B58" s="17">
        <f t="shared" si="0"/>
        <v>51</v>
      </c>
      <c r="C58" s="23" t="s">
        <v>19</v>
      </c>
      <c r="D58" s="20" t="s">
        <v>78</v>
      </c>
      <c r="E58" s="20" t="s">
        <v>205</v>
      </c>
      <c r="F58" s="20" t="s">
        <v>301</v>
      </c>
      <c r="G58" s="20" t="s">
        <v>366</v>
      </c>
      <c r="H58" s="20" t="s">
        <v>454</v>
      </c>
      <c r="I58" s="14" t="s">
        <v>672</v>
      </c>
      <c r="J58" s="20" t="s">
        <v>516</v>
      </c>
      <c r="K58" s="14" t="s">
        <v>672</v>
      </c>
      <c r="L58" s="20">
        <v>1</v>
      </c>
      <c r="M58" s="14">
        <f t="shared" si="1"/>
        <v>1000</v>
      </c>
      <c r="N58" s="20">
        <v>1020</v>
      </c>
      <c r="O58" s="54" t="s">
        <v>701</v>
      </c>
      <c r="P58" s="21" t="s">
        <v>837</v>
      </c>
      <c r="Q58" s="21">
        <f t="shared" ref="Q58" si="23">P58*N58</f>
        <v>23.868000000000002</v>
      </c>
      <c r="R58" s="20"/>
    </row>
    <row r="59" spans="1:18" ht="48">
      <c r="A59" s="1"/>
      <c r="B59" s="16">
        <f>ROW(B59) - ROW($B$7)</f>
        <v>52</v>
      </c>
      <c r="C59" s="22" t="s">
        <v>19</v>
      </c>
      <c r="D59" s="14" t="s">
        <v>79</v>
      </c>
      <c r="E59" s="14" t="s">
        <v>206</v>
      </c>
      <c r="F59" s="14" t="s">
        <v>299</v>
      </c>
      <c r="G59" s="14" t="s">
        <v>367</v>
      </c>
      <c r="H59" s="14" t="s">
        <v>453</v>
      </c>
      <c r="I59" s="14" t="s">
        <v>672</v>
      </c>
      <c r="J59" s="14" t="s">
        <v>517</v>
      </c>
      <c r="K59" s="14" t="s">
        <v>672</v>
      </c>
      <c r="L59" s="14">
        <v>1</v>
      </c>
      <c r="M59" s="14">
        <f t="shared" si="1"/>
        <v>1000</v>
      </c>
      <c r="N59" s="14">
        <v>1020</v>
      </c>
      <c r="O59" s="54" t="s">
        <v>701</v>
      </c>
      <c r="P59" s="15" t="s">
        <v>814</v>
      </c>
      <c r="Q59" s="15">
        <f>P59*N59</f>
        <v>17.033999999999999</v>
      </c>
      <c r="R59" s="14"/>
    </row>
    <row r="60" spans="1:18" ht="36">
      <c r="A60" s="1"/>
      <c r="B60" s="17">
        <f t="shared" si="0"/>
        <v>53</v>
      </c>
      <c r="C60" s="23" t="s">
        <v>20</v>
      </c>
      <c r="D60" s="20" t="s">
        <v>80</v>
      </c>
      <c r="E60" s="20" t="s">
        <v>207</v>
      </c>
      <c r="F60" s="20" t="s">
        <v>302</v>
      </c>
      <c r="G60" s="20" t="s">
        <v>302</v>
      </c>
      <c r="H60" s="20" t="s">
        <v>455</v>
      </c>
      <c r="I60" s="14" t="s">
        <v>672</v>
      </c>
      <c r="J60" s="20" t="s">
        <v>518</v>
      </c>
      <c r="K60" s="14" t="s">
        <v>672</v>
      </c>
      <c r="L60" s="20">
        <v>1</v>
      </c>
      <c r="M60" s="14">
        <f t="shared" si="1"/>
        <v>1000</v>
      </c>
      <c r="N60" s="20">
        <v>1002</v>
      </c>
      <c r="O60" s="54" t="s">
        <v>701</v>
      </c>
      <c r="P60" s="21" t="s">
        <v>838</v>
      </c>
      <c r="Q60" s="21">
        <f t="shared" ref="Q60" si="24">P60*N60</f>
        <v>223.1454</v>
      </c>
      <c r="R60" s="20"/>
    </row>
    <row r="61" spans="1:18" ht="24">
      <c r="A61" s="1"/>
      <c r="B61" s="16">
        <f>ROW(B61) - ROW($B$7)</f>
        <v>54</v>
      </c>
      <c r="C61" s="22" t="s">
        <v>21</v>
      </c>
      <c r="D61" s="14" t="s">
        <v>81</v>
      </c>
      <c r="E61" s="14" t="s">
        <v>208</v>
      </c>
      <c r="F61" s="14" t="s">
        <v>303</v>
      </c>
      <c r="G61" s="14" t="s">
        <v>368</v>
      </c>
      <c r="H61" s="14" t="s">
        <v>442</v>
      </c>
      <c r="I61" s="14" t="s">
        <v>672</v>
      </c>
      <c r="J61" s="14" t="s">
        <v>519</v>
      </c>
      <c r="K61" s="14" t="s">
        <v>672</v>
      </c>
      <c r="L61" s="14">
        <v>1</v>
      </c>
      <c r="M61" s="14">
        <f t="shared" si="1"/>
        <v>1000</v>
      </c>
      <c r="N61" s="14">
        <v>1020</v>
      </c>
      <c r="O61" s="54" t="s">
        <v>701</v>
      </c>
      <c r="P61" s="15" t="s">
        <v>839</v>
      </c>
      <c r="Q61" s="15">
        <f>P61*N61</f>
        <v>12.24</v>
      </c>
      <c r="R61" s="14"/>
    </row>
    <row r="62" spans="1:18" ht="24">
      <c r="A62" s="1"/>
      <c r="B62" s="17">
        <f t="shared" si="0"/>
        <v>55</v>
      </c>
      <c r="C62" s="23" t="s">
        <v>21</v>
      </c>
      <c r="D62" s="20" t="s">
        <v>82</v>
      </c>
      <c r="E62" s="20" t="s">
        <v>209</v>
      </c>
      <c r="F62" s="20" t="s">
        <v>304</v>
      </c>
      <c r="G62" s="20" t="s">
        <v>369</v>
      </c>
      <c r="H62" s="20" t="s">
        <v>456</v>
      </c>
      <c r="I62" s="14" t="s">
        <v>672</v>
      </c>
      <c r="J62" s="20" t="s">
        <v>520</v>
      </c>
      <c r="K62" s="14" t="s">
        <v>672</v>
      </c>
      <c r="L62" s="20">
        <v>6</v>
      </c>
      <c r="M62" s="14">
        <f t="shared" si="1"/>
        <v>6000</v>
      </c>
      <c r="N62" s="20">
        <v>6020</v>
      </c>
      <c r="O62" s="54" t="s">
        <v>701</v>
      </c>
      <c r="P62" s="21" t="s">
        <v>840</v>
      </c>
      <c r="Q62" s="21">
        <f t="shared" ref="Q62" si="25">P62*N62</f>
        <v>71.638000000000005</v>
      </c>
      <c r="R62" s="20"/>
    </row>
    <row r="63" spans="1:18">
      <c r="A63" s="1"/>
      <c r="B63" s="16">
        <f>ROW(B63) - ROW($B$7)</f>
        <v>56</v>
      </c>
      <c r="C63" s="22" t="s">
        <v>22</v>
      </c>
      <c r="D63" s="14" t="s">
        <v>83</v>
      </c>
      <c r="E63" s="14" t="s">
        <v>210</v>
      </c>
      <c r="F63" s="14" t="s">
        <v>305</v>
      </c>
      <c r="G63" s="14" t="s">
        <v>370</v>
      </c>
      <c r="H63" s="14" t="s">
        <v>438</v>
      </c>
      <c r="I63" s="14" t="s">
        <v>672</v>
      </c>
      <c r="J63" s="14" t="s">
        <v>521</v>
      </c>
      <c r="K63" s="14" t="s">
        <v>613</v>
      </c>
      <c r="L63" s="14">
        <v>7</v>
      </c>
      <c r="M63" s="14">
        <f t="shared" si="1"/>
        <v>7000</v>
      </c>
      <c r="N63" s="14">
        <v>7100</v>
      </c>
      <c r="O63" s="54" t="s">
        <v>701</v>
      </c>
      <c r="P63" s="15" t="s">
        <v>841</v>
      </c>
      <c r="Q63" s="15">
        <f>P63*N63</f>
        <v>3.5500000000000003</v>
      </c>
      <c r="R63" s="14"/>
    </row>
    <row r="64" spans="1:18">
      <c r="A64" s="1"/>
      <c r="B64" s="17">
        <f t="shared" si="0"/>
        <v>57</v>
      </c>
      <c r="C64" s="22" t="s">
        <v>22</v>
      </c>
      <c r="D64" s="20" t="s">
        <v>84</v>
      </c>
      <c r="E64" s="20" t="s">
        <v>211</v>
      </c>
      <c r="F64" s="20" t="s">
        <v>305</v>
      </c>
      <c r="G64" s="20" t="s">
        <v>371</v>
      </c>
      <c r="H64" s="20" t="s">
        <v>438</v>
      </c>
      <c r="I64" s="14" t="s">
        <v>672</v>
      </c>
      <c r="J64" s="20" t="s">
        <v>522</v>
      </c>
      <c r="K64" s="20" t="s">
        <v>614</v>
      </c>
      <c r="L64" s="20">
        <v>1</v>
      </c>
      <c r="M64" s="14">
        <f t="shared" si="1"/>
        <v>1000</v>
      </c>
      <c r="N64" s="20">
        <v>1100</v>
      </c>
      <c r="O64" s="54" t="s">
        <v>701</v>
      </c>
      <c r="P64" s="21" t="s">
        <v>721</v>
      </c>
      <c r="Q64" s="21">
        <f t="shared" ref="Q64" si="26">P64*N64</f>
        <v>1.21</v>
      </c>
      <c r="R64" s="20"/>
    </row>
    <row r="65" spans="1:18">
      <c r="A65" s="1"/>
      <c r="B65" s="16">
        <f>ROW(B65) - ROW($B$7)</f>
        <v>58</v>
      </c>
      <c r="C65" s="22" t="s">
        <v>23</v>
      </c>
      <c r="D65" s="14" t="s">
        <v>85</v>
      </c>
      <c r="E65" s="14" t="s">
        <v>212</v>
      </c>
      <c r="F65" s="14" t="s">
        <v>305</v>
      </c>
      <c r="G65" s="14" t="s">
        <v>372</v>
      </c>
      <c r="H65" s="14" t="s">
        <v>438</v>
      </c>
      <c r="I65" s="14" t="s">
        <v>672</v>
      </c>
      <c r="J65" s="14" t="s">
        <v>523</v>
      </c>
      <c r="K65" s="14" t="s">
        <v>615</v>
      </c>
      <c r="L65" s="14">
        <v>1</v>
      </c>
      <c r="M65" s="14">
        <f t="shared" si="1"/>
        <v>1000</v>
      </c>
      <c r="N65" s="14">
        <v>1100</v>
      </c>
      <c r="O65" s="54" t="s">
        <v>701</v>
      </c>
      <c r="P65" s="15" t="s">
        <v>841</v>
      </c>
      <c r="Q65" s="15">
        <f>P65*N65</f>
        <v>0.55000000000000004</v>
      </c>
      <c r="R65" s="14"/>
    </row>
    <row r="66" spans="1:18">
      <c r="A66" s="1"/>
      <c r="B66" s="17">
        <f t="shared" si="0"/>
        <v>59</v>
      </c>
      <c r="C66" s="23" t="s">
        <v>22</v>
      </c>
      <c r="D66" s="20" t="s">
        <v>86</v>
      </c>
      <c r="E66" s="20" t="s">
        <v>213</v>
      </c>
      <c r="F66" s="20" t="s">
        <v>305</v>
      </c>
      <c r="G66" s="20" t="s">
        <v>373</v>
      </c>
      <c r="H66" s="20" t="s">
        <v>438</v>
      </c>
      <c r="I66" s="14" t="s">
        <v>672</v>
      </c>
      <c r="J66" s="20" t="s">
        <v>524</v>
      </c>
      <c r="K66" s="20" t="s">
        <v>616</v>
      </c>
      <c r="L66" s="20">
        <v>1</v>
      </c>
      <c r="M66" s="14">
        <f t="shared" si="1"/>
        <v>1000</v>
      </c>
      <c r="N66" s="20">
        <v>1100</v>
      </c>
      <c r="O66" s="54" t="s">
        <v>701</v>
      </c>
      <c r="P66" s="21" t="s">
        <v>842</v>
      </c>
      <c r="Q66" s="21">
        <f t="shared" ref="Q66" si="27">P66*N66</f>
        <v>0.44</v>
      </c>
      <c r="R66" s="20"/>
    </row>
    <row r="67" spans="1:18" ht="24">
      <c r="A67" s="1"/>
      <c r="B67" s="16">
        <f>ROW(B67) - ROW($B$7)</f>
        <v>60</v>
      </c>
      <c r="C67" s="22" t="s">
        <v>23</v>
      </c>
      <c r="D67" s="14" t="s">
        <v>87</v>
      </c>
      <c r="E67" s="14" t="s">
        <v>214</v>
      </c>
      <c r="F67" s="14" t="s">
        <v>305</v>
      </c>
      <c r="G67" s="14" t="s">
        <v>374</v>
      </c>
      <c r="H67" s="14" t="s">
        <v>438</v>
      </c>
      <c r="I67" s="14" t="s">
        <v>672</v>
      </c>
      <c r="J67" s="14" t="s">
        <v>525</v>
      </c>
      <c r="K67" s="14" t="s">
        <v>617</v>
      </c>
      <c r="L67" s="14">
        <v>1</v>
      </c>
      <c r="M67" s="14">
        <f t="shared" si="1"/>
        <v>1000</v>
      </c>
      <c r="N67" s="14">
        <v>1020</v>
      </c>
      <c r="O67" s="54" t="s">
        <v>701</v>
      </c>
      <c r="P67" s="15" t="s">
        <v>823</v>
      </c>
      <c r="Q67" s="15">
        <f>P67*N67</f>
        <v>16.625999999999998</v>
      </c>
      <c r="R67" s="14"/>
    </row>
    <row r="68" spans="1:18">
      <c r="A68" s="1"/>
      <c r="B68" s="17">
        <f t="shared" si="0"/>
        <v>61</v>
      </c>
      <c r="C68" s="23" t="s">
        <v>22</v>
      </c>
      <c r="D68" s="20" t="s">
        <v>88</v>
      </c>
      <c r="E68" s="20" t="s">
        <v>215</v>
      </c>
      <c r="F68" s="20" t="s">
        <v>306</v>
      </c>
      <c r="G68" s="20" t="s">
        <v>375</v>
      </c>
      <c r="H68" s="20" t="s">
        <v>438</v>
      </c>
      <c r="I68" s="14" t="s">
        <v>672</v>
      </c>
      <c r="J68" s="20" t="s">
        <v>526</v>
      </c>
      <c r="K68" s="20" t="s">
        <v>618</v>
      </c>
      <c r="L68" s="20">
        <v>1</v>
      </c>
      <c r="M68" s="14">
        <f t="shared" si="1"/>
        <v>1000</v>
      </c>
      <c r="N68" s="20">
        <v>1100</v>
      </c>
      <c r="O68" s="54" t="s">
        <v>701</v>
      </c>
      <c r="P68" s="21" t="s">
        <v>843</v>
      </c>
      <c r="Q68" s="21">
        <f t="shared" ref="Q68" si="28">P68*N68</f>
        <v>0.99</v>
      </c>
      <c r="R68" s="20"/>
    </row>
    <row r="69" spans="1:18" ht="24">
      <c r="A69" s="1"/>
      <c r="B69" s="16">
        <f>ROW(B69) - ROW($B$7)</f>
        <v>62</v>
      </c>
      <c r="C69" s="22" t="s">
        <v>23</v>
      </c>
      <c r="D69" s="14" t="s">
        <v>89</v>
      </c>
      <c r="E69" s="14" t="s">
        <v>216</v>
      </c>
      <c r="F69" s="14" t="s">
        <v>305</v>
      </c>
      <c r="G69" s="14" t="s">
        <v>376</v>
      </c>
      <c r="H69" s="14" t="s">
        <v>438</v>
      </c>
      <c r="I69" s="14" t="s">
        <v>672</v>
      </c>
      <c r="J69" s="14" t="s">
        <v>527</v>
      </c>
      <c r="K69" s="14" t="s">
        <v>619</v>
      </c>
      <c r="L69" s="14">
        <v>1</v>
      </c>
      <c r="M69" s="14">
        <f t="shared" si="1"/>
        <v>1000</v>
      </c>
      <c r="N69" s="14">
        <v>1020</v>
      </c>
      <c r="O69" s="54" t="s">
        <v>701</v>
      </c>
      <c r="P69" s="15" t="s">
        <v>844</v>
      </c>
      <c r="Q69" s="15">
        <f>P69*N69</f>
        <v>15.504</v>
      </c>
      <c r="R69" s="14"/>
    </row>
    <row r="70" spans="1:18" ht="24">
      <c r="A70" s="1"/>
      <c r="B70" s="17">
        <f t="shared" si="0"/>
        <v>63</v>
      </c>
      <c r="C70" s="23" t="s">
        <v>22</v>
      </c>
      <c r="D70" s="20" t="s">
        <v>90</v>
      </c>
      <c r="E70" s="20" t="s">
        <v>217</v>
      </c>
      <c r="F70" s="20" t="s">
        <v>305</v>
      </c>
      <c r="G70" s="20" t="s">
        <v>377</v>
      </c>
      <c r="H70" s="20" t="s">
        <v>438</v>
      </c>
      <c r="I70" s="14" t="s">
        <v>672</v>
      </c>
      <c r="J70" s="20" t="s">
        <v>527</v>
      </c>
      <c r="K70" s="20" t="s">
        <v>620</v>
      </c>
      <c r="L70" s="20">
        <v>1</v>
      </c>
      <c r="M70" s="14">
        <f t="shared" si="1"/>
        <v>1000</v>
      </c>
      <c r="N70" s="20">
        <v>1020</v>
      </c>
      <c r="O70" s="54" t="s">
        <v>701</v>
      </c>
      <c r="P70" s="21" t="s">
        <v>844</v>
      </c>
      <c r="Q70" s="21">
        <f t="shared" ref="Q70" si="29">P70*N70</f>
        <v>15.504</v>
      </c>
      <c r="R70" s="20"/>
    </row>
    <row r="71" spans="1:18" ht="24">
      <c r="A71" s="1"/>
      <c r="B71" s="16">
        <f>ROW(B71) - ROW($B$7)</f>
        <v>64</v>
      </c>
      <c r="C71" s="22" t="s">
        <v>22</v>
      </c>
      <c r="D71" s="14" t="s">
        <v>91</v>
      </c>
      <c r="E71" s="14" t="s">
        <v>218</v>
      </c>
      <c r="F71" s="14" t="s">
        <v>305</v>
      </c>
      <c r="G71" s="14" t="s">
        <v>378</v>
      </c>
      <c r="H71" s="14" t="s">
        <v>438</v>
      </c>
      <c r="I71" s="14" t="s">
        <v>672</v>
      </c>
      <c r="J71" s="14" t="s">
        <v>528</v>
      </c>
      <c r="K71" s="14" t="s">
        <v>616</v>
      </c>
      <c r="L71" s="14">
        <v>1</v>
      </c>
      <c r="M71" s="14">
        <f t="shared" si="1"/>
        <v>1000</v>
      </c>
      <c r="N71" s="14">
        <v>1050</v>
      </c>
      <c r="O71" s="54" t="s">
        <v>701</v>
      </c>
      <c r="P71" s="15" t="s">
        <v>845</v>
      </c>
      <c r="Q71" s="15">
        <f>P71*N71</f>
        <v>13.755000000000001</v>
      </c>
      <c r="R71" s="14"/>
    </row>
    <row r="72" spans="1:18" ht="24">
      <c r="A72" s="1"/>
      <c r="B72" s="17">
        <f t="shared" si="0"/>
        <v>65</v>
      </c>
      <c r="C72" s="23" t="s">
        <v>22</v>
      </c>
      <c r="D72" s="20" t="s">
        <v>92</v>
      </c>
      <c r="E72" s="20" t="s">
        <v>219</v>
      </c>
      <c r="F72" s="20" t="s">
        <v>305</v>
      </c>
      <c r="G72" s="20" t="s">
        <v>379</v>
      </c>
      <c r="H72" s="20" t="s">
        <v>438</v>
      </c>
      <c r="I72" s="14" t="s">
        <v>672</v>
      </c>
      <c r="J72" s="20" t="s">
        <v>529</v>
      </c>
      <c r="K72" s="20" t="s">
        <v>621</v>
      </c>
      <c r="L72" s="20">
        <v>1</v>
      </c>
      <c r="M72" s="14">
        <f t="shared" si="1"/>
        <v>1000</v>
      </c>
      <c r="N72" s="20">
        <v>1050</v>
      </c>
      <c r="O72" s="54" t="s">
        <v>701</v>
      </c>
      <c r="P72" s="21" t="s">
        <v>846</v>
      </c>
      <c r="Q72" s="21">
        <f t="shared" ref="Q72" si="30">P72*N72</f>
        <v>14.91</v>
      </c>
      <c r="R72" s="20"/>
    </row>
    <row r="73" spans="1:18">
      <c r="A73" s="1"/>
      <c r="B73" s="16">
        <f>ROW(B73) - ROW($B$7)</f>
        <v>66</v>
      </c>
      <c r="C73" s="22" t="s">
        <v>22</v>
      </c>
      <c r="D73" s="14" t="s">
        <v>93</v>
      </c>
      <c r="E73" s="14" t="s">
        <v>220</v>
      </c>
      <c r="F73" s="14" t="s">
        <v>305</v>
      </c>
      <c r="G73" s="14" t="s">
        <v>380</v>
      </c>
      <c r="H73" s="14" t="s">
        <v>438</v>
      </c>
      <c r="I73" s="14" t="s">
        <v>672</v>
      </c>
      <c r="J73" s="14" t="s">
        <v>530</v>
      </c>
      <c r="K73" s="14" t="s">
        <v>622</v>
      </c>
      <c r="L73" s="14">
        <v>1</v>
      </c>
      <c r="M73" s="14">
        <f t="shared" ref="M73:M136" si="31">L73*1000</f>
        <v>1000</v>
      </c>
      <c r="N73" s="14">
        <v>1100</v>
      </c>
      <c r="O73" s="54" t="s">
        <v>701</v>
      </c>
      <c r="P73" s="15" t="s">
        <v>841</v>
      </c>
      <c r="Q73" s="15">
        <f>P73*N73</f>
        <v>0.55000000000000004</v>
      </c>
      <c r="R73" s="14"/>
    </row>
    <row r="74" spans="1:18">
      <c r="A74" s="1"/>
      <c r="B74" s="17">
        <f t="shared" si="0"/>
        <v>67</v>
      </c>
      <c r="C74" s="23" t="s">
        <v>22</v>
      </c>
      <c r="D74" s="20" t="s">
        <v>670</v>
      </c>
      <c r="E74" s="20" t="s">
        <v>221</v>
      </c>
      <c r="F74" s="20" t="s">
        <v>305</v>
      </c>
      <c r="G74" s="20" t="s">
        <v>381</v>
      </c>
      <c r="H74" s="20" t="s">
        <v>438</v>
      </c>
      <c r="I74" s="14" t="s">
        <v>672</v>
      </c>
      <c r="J74" s="20" t="s">
        <v>531</v>
      </c>
      <c r="K74" s="20" t="s">
        <v>623</v>
      </c>
      <c r="L74" s="20">
        <v>6</v>
      </c>
      <c r="M74" s="14">
        <f t="shared" si="31"/>
        <v>6000</v>
      </c>
      <c r="N74" s="20">
        <v>6100</v>
      </c>
      <c r="O74" s="54" t="s">
        <v>701</v>
      </c>
      <c r="P74" s="21" t="s">
        <v>841</v>
      </c>
      <c r="Q74" s="21">
        <f t="shared" ref="Q74" si="32">P74*N74</f>
        <v>3.0500000000000003</v>
      </c>
      <c r="R74" s="20"/>
    </row>
    <row r="75" spans="1:18">
      <c r="A75" s="1"/>
      <c r="B75" s="16">
        <f>ROW(B75) - ROW($B$7)</f>
        <v>68</v>
      </c>
      <c r="C75" s="22" t="s">
        <v>22</v>
      </c>
      <c r="D75" s="14" t="s">
        <v>94</v>
      </c>
      <c r="E75" s="14" t="s">
        <v>222</v>
      </c>
      <c r="F75" s="14" t="s">
        <v>306</v>
      </c>
      <c r="G75" s="14" t="s">
        <v>382</v>
      </c>
      <c r="H75" s="14" t="s">
        <v>438</v>
      </c>
      <c r="I75" s="14" t="s">
        <v>672</v>
      </c>
      <c r="J75" s="14" t="s">
        <v>532</v>
      </c>
      <c r="K75" s="14" t="s">
        <v>624</v>
      </c>
      <c r="L75" s="14">
        <v>1</v>
      </c>
      <c r="M75" s="14">
        <f t="shared" si="31"/>
        <v>1000</v>
      </c>
      <c r="N75" s="14">
        <v>1100</v>
      </c>
      <c r="O75" s="54" t="s">
        <v>701</v>
      </c>
      <c r="P75" s="15" t="s">
        <v>847</v>
      </c>
      <c r="Q75" s="15">
        <f>P75*N75</f>
        <v>1.1000000000000001</v>
      </c>
      <c r="R75" s="14"/>
    </row>
    <row r="76" spans="1:18" ht="36">
      <c r="A76" s="1"/>
      <c r="B76" s="17">
        <f t="shared" si="0"/>
        <v>69</v>
      </c>
      <c r="C76" s="23" t="s">
        <v>23</v>
      </c>
      <c r="D76" s="20" t="s">
        <v>95</v>
      </c>
      <c r="E76" s="20" t="s">
        <v>223</v>
      </c>
      <c r="F76" s="20" t="s">
        <v>305</v>
      </c>
      <c r="G76" s="20" t="s">
        <v>383</v>
      </c>
      <c r="H76" s="20" t="s">
        <v>438</v>
      </c>
      <c r="I76" s="14" t="s">
        <v>672</v>
      </c>
      <c r="J76" s="20" t="s">
        <v>533</v>
      </c>
      <c r="K76" s="20" t="s">
        <v>625</v>
      </c>
      <c r="L76" s="20">
        <v>19</v>
      </c>
      <c r="M76" s="14">
        <f t="shared" si="31"/>
        <v>19000</v>
      </c>
      <c r="N76" s="20">
        <v>19100</v>
      </c>
      <c r="O76" s="54" t="s">
        <v>701</v>
      </c>
      <c r="P76" s="21" t="s">
        <v>842</v>
      </c>
      <c r="Q76" s="21">
        <f t="shared" ref="Q76" si="33">P76*N76</f>
        <v>7.6400000000000006</v>
      </c>
      <c r="R76" s="20"/>
    </row>
    <row r="77" spans="1:18">
      <c r="A77" s="1"/>
      <c r="B77" s="16">
        <f>ROW(B77) - ROW($B$7)</f>
        <v>70</v>
      </c>
      <c r="C77" s="22" t="s">
        <v>22</v>
      </c>
      <c r="D77" s="14" t="s">
        <v>96</v>
      </c>
      <c r="E77" s="14" t="s">
        <v>224</v>
      </c>
      <c r="F77" s="14" t="s">
        <v>305</v>
      </c>
      <c r="G77" s="14" t="s">
        <v>384</v>
      </c>
      <c r="H77" s="14" t="s">
        <v>438</v>
      </c>
      <c r="I77" s="14" t="s">
        <v>672</v>
      </c>
      <c r="J77" s="14" t="s">
        <v>534</v>
      </c>
      <c r="K77" s="14" t="s">
        <v>626</v>
      </c>
      <c r="L77" s="14">
        <v>2</v>
      </c>
      <c r="M77" s="14">
        <f t="shared" si="31"/>
        <v>2000</v>
      </c>
      <c r="N77" s="14">
        <v>2100</v>
      </c>
      <c r="O77" s="54" t="s">
        <v>701</v>
      </c>
      <c r="P77" s="15" t="s">
        <v>841</v>
      </c>
      <c r="Q77" s="15">
        <f>P77*N77</f>
        <v>1.05</v>
      </c>
      <c r="R77" s="14"/>
    </row>
    <row r="78" spans="1:18">
      <c r="A78" s="1"/>
      <c r="B78" s="17">
        <f t="shared" si="0"/>
        <v>71</v>
      </c>
      <c r="C78" s="23" t="s">
        <v>23</v>
      </c>
      <c r="D78" s="20" t="s">
        <v>97</v>
      </c>
      <c r="E78" s="20" t="s">
        <v>225</v>
      </c>
      <c r="F78" s="20" t="s">
        <v>305</v>
      </c>
      <c r="G78" s="20" t="s">
        <v>385</v>
      </c>
      <c r="H78" s="20" t="s">
        <v>438</v>
      </c>
      <c r="I78" s="14" t="s">
        <v>672</v>
      </c>
      <c r="J78" s="20" t="s">
        <v>535</v>
      </c>
      <c r="K78" s="20" t="s">
        <v>627</v>
      </c>
      <c r="L78" s="20">
        <v>1</v>
      </c>
      <c r="M78" s="14">
        <f t="shared" si="31"/>
        <v>1000</v>
      </c>
      <c r="N78" s="20">
        <v>1100</v>
      </c>
      <c r="O78" s="54" t="s">
        <v>701</v>
      </c>
      <c r="P78" s="21" t="s">
        <v>841</v>
      </c>
      <c r="Q78" s="21">
        <f t="shared" ref="Q78" si="34">P78*N78</f>
        <v>0.55000000000000004</v>
      </c>
      <c r="R78" s="20"/>
    </row>
    <row r="79" spans="1:18">
      <c r="A79" s="1"/>
      <c r="B79" s="16">
        <f>ROW(B79) - ROW($B$7)</f>
        <v>72</v>
      </c>
      <c r="C79" s="22" t="s">
        <v>22</v>
      </c>
      <c r="D79" s="14" t="s">
        <v>98</v>
      </c>
      <c r="E79" s="14" t="s">
        <v>226</v>
      </c>
      <c r="F79" s="14" t="s">
        <v>305</v>
      </c>
      <c r="G79" s="14" t="s">
        <v>386</v>
      </c>
      <c r="H79" s="14" t="s">
        <v>438</v>
      </c>
      <c r="I79" s="14" t="s">
        <v>672</v>
      </c>
      <c r="J79" s="14" t="s">
        <v>536</v>
      </c>
      <c r="K79" s="14" t="s">
        <v>628</v>
      </c>
      <c r="L79" s="14">
        <v>1</v>
      </c>
      <c r="M79" s="14">
        <f t="shared" si="31"/>
        <v>1000</v>
      </c>
      <c r="N79" s="14">
        <v>1100</v>
      </c>
      <c r="O79" s="54" t="s">
        <v>701</v>
      </c>
      <c r="P79" s="15" t="s">
        <v>841</v>
      </c>
      <c r="Q79" s="15">
        <f>P79*N79</f>
        <v>0.55000000000000004</v>
      </c>
      <c r="R79" s="14"/>
    </row>
    <row r="80" spans="1:18" ht="24">
      <c r="A80" s="1"/>
      <c r="B80" s="17">
        <f t="shared" si="0"/>
        <v>73</v>
      </c>
      <c r="C80" s="23" t="s">
        <v>22</v>
      </c>
      <c r="D80" s="20" t="s">
        <v>99</v>
      </c>
      <c r="E80" s="20" t="s">
        <v>227</v>
      </c>
      <c r="F80" s="20" t="s">
        <v>306</v>
      </c>
      <c r="G80" s="20" t="s">
        <v>387</v>
      </c>
      <c r="H80" s="20" t="s">
        <v>438</v>
      </c>
      <c r="I80" s="14" t="s">
        <v>672</v>
      </c>
      <c r="J80" s="20" t="s">
        <v>537</v>
      </c>
      <c r="K80" s="20" t="s">
        <v>625</v>
      </c>
      <c r="L80" s="20">
        <v>10</v>
      </c>
      <c r="M80" s="14">
        <f t="shared" si="31"/>
        <v>10000</v>
      </c>
      <c r="N80" s="20">
        <v>10100</v>
      </c>
      <c r="O80" s="54" t="s">
        <v>701</v>
      </c>
      <c r="P80" s="21" t="s">
        <v>746</v>
      </c>
      <c r="Q80" s="21">
        <f t="shared" ref="Q80" si="35">P80*N80</f>
        <v>6.06</v>
      </c>
      <c r="R80" s="20"/>
    </row>
    <row r="81" spans="1:18" ht="24">
      <c r="A81" s="1"/>
      <c r="B81" s="16">
        <f>ROW(B81) - ROW($B$7)</f>
        <v>74</v>
      </c>
      <c r="C81" s="22" t="s">
        <v>23</v>
      </c>
      <c r="D81" s="14" t="s">
        <v>100</v>
      </c>
      <c r="E81" s="14" t="s">
        <v>228</v>
      </c>
      <c r="F81" s="14" t="s">
        <v>306</v>
      </c>
      <c r="G81" s="14" t="s">
        <v>388</v>
      </c>
      <c r="H81" s="14" t="s">
        <v>438</v>
      </c>
      <c r="I81" s="14" t="s">
        <v>672</v>
      </c>
      <c r="J81" s="14" t="s">
        <v>538</v>
      </c>
      <c r="K81" s="14" t="s">
        <v>629</v>
      </c>
      <c r="L81" s="14">
        <v>1</v>
      </c>
      <c r="M81" s="14">
        <f t="shared" si="31"/>
        <v>1000</v>
      </c>
      <c r="N81" s="14">
        <v>1020</v>
      </c>
      <c r="O81" s="54" t="s">
        <v>701</v>
      </c>
      <c r="P81" s="15" t="s">
        <v>848</v>
      </c>
      <c r="Q81" s="15">
        <f>P81*N81</f>
        <v>17.34</v>
      </c>
      <c r="R81" s="14"/>
    </row>
    <row r="82" spans="1:18">
      <c r="A82" s="1"/>
      <c r="B82" s="17">
        <f t="shared" si="0"/>
        <v>75</v>
      </c>
      <c r="C82" s="23" t="s">
        <v>22</v>
      </c>
      <c r="D82" s="20" t="s">
        <v>101</v>
      </c>
      <c r="E82" s="20" t="s">
        <v>229</v>
      </c>
      <c r="F82" s="20" t="s">
        <v>306</v>
      </c>
      <c r="G82" s="20" t="s">
        <v>389</v>
      </c>
      <c r="H82" s="20" t="s">
        <v>438</v>
      </c>
      <c r="I82" s="14" t="s">
        <v>672</v>
      </c>
      <c r="J82" s="20" t="s">
        <v>539</v>
      </c>
      <c r="K82" s="20" t="s">
        <v>630</v>
      </c>
      <c r="L82" s="20">
        <v>1</v>
      </c>
      <c r="M82" s="14">
        <f t="shared" si="31"/>
        <v>1000</v>
      </c>
      <c r="N82" s="20">
        <v>1100</v>
      </c>
      <c r="O82" s="54" t="s">
        <v>701</v>
      </c>
      <c r="P82" s="21" t="s">
        <v>847</v>
      </c>
      <c r="Q82" s="21">
        <f t="shared" ref="Q82" si="36">P82*N82</f>
        <v>1.1000000000000001</v>
      </c>
      <c r="R82" s="20"/>
    </row>
    <row r="83" spans="1:18" ht="24">
      <c r="A83" s="1"/>
      <c r="B83" s="16">
        <f>ROW(B83) - ROW($B$7)</f>
        <v>76</v>
      </c>
      <c r="C83" s="22" t="s">
        <v>23</v>
      </c>
      <c r="D83" s="14" t="s">
        <v>102</v>
      </c>
      <c r="E83" s="14" t="s">
        <v>230</v>
      </c>
      <c r="F83" s="14" t="s">
        <v>306</v>
      </c>
      <c r="G83" s="14" t="s">
        <v>390</v>
      </c>
      <c r="H83" s="14" t="s">
        <v>438</v>
      </c>
      <c r="I83" s="14" t="s">
        <v>672</v>
      </c>
      <c r="J83" s="14" t="s">
        <v>540</v>
      </c>
      <c r="K83" s="14" t="s">
        <v>631</v>
      </c>
      <c r="L83" s="14">
        <v>1</v>
      </c>
      <c r="M83" s="14">
        <f t="shared" si="31"/>
        <v>1000</v>
      </c>
      <c r="N83" s="14">
        <v>1020</v>
      </c>
      <c r="O83" s="54" t="s">
        <v>701</v>
      </c>
      <c r="P83" s="15" t="s">
        <v>703</v>
      </c>
      <c r="Q83" s="15">
        <f>P83*N83</f>
        <v>17.544</v>
      </c>
      <c r="R83" s="14"/>
    </row>
    <row r="84" spans="1:18" ht="24">
      <c r="A84" s="1"/>
      <c r="B84" s="17">
        <f t="shared" si="0"/>
        <v>77</v>
      </c>
      <c r="C84" s="23" t="s">
        <v>23</v>
      </c>
      <c r="D84" s="20" t="s">
        <v>103</v>
      </c>
      <c r="E84" s="20" t="s">
        <v>231</v>
      </c>
      <c r="F84" s="20" t="s">
        <v>306</v>
      </c>
      <c r="G84" s="20" t="s">
        <v>391</v>
      </c>
      <c r="H84" s="20" t="s">
        <v>438</v>
      </c>
      <c r="I84" s="14" t="s">
        <v>672</v>
      </c>
      <c r="J84" s="20" t="s">
        <v>541</v>
      </c>
      <c r="K84" s="20" t="s">
        <v>632</v>
      </c>
      <c r="L84" s="20">
        <v>1</v>
      </c>
      <c r="M84" s="14">
        <f t="shared" si="31"/>
        <v>1000</v>
      </c>
      <c r="N84" s="20">
        <v>1020</v>
      </c>
      <c r="O84" s="54" t="s">
        <v>701</v>
      </c>
      <c r="P84" s="21" t="s">
        <v>849</v>
      </c>
      <c r="Q84" s="21">
        <f t="shared" ref="Q84" si="37">P84*N84</f>
        <v>16.32</v>
      </c>
      <c r="R84" s="20"/>
    </row>
    <row r="85" spans="1:18" ht="24">
      <c r="A85" s="1"/>
      <c r="B85" s="16">
        <f>ROW(B85) - ROW($B$7)</f>
        <v>78</v>
      </c>
      <c r="C85" s="22" t="s">
        <v>23</v>
      </c>
      <c r="D85" s="14" t="s">
        <v>104</v>
      </c>
      <c r="E85" s="14" t="s">
        <v>232</v>
      </c>
      <c r="F85" s="14" t="s">
        <v>306</v>
      </c>
      <c r="G85" s="14" t="s">
        <v>392</v>
      </c>
      <c r="H85" s="14" t="s">
        <v>438</v>
      </c>
      <c r="I85" s="14" t="s">
        <v>672</v>
      </c>
      <c r="J85" s="14" t="s">
        <v>542</v>
      </c>
      <c r="K85" s="14" t="s">
        <v>633</v>
      </c>
      <c r="L85" s="14">
        <v>1</v>
      </c>
      <c r="M85" s="14">
        <f t="shared" si="31"/>
        <v>1000</v>
      </c>
      <c r="N85" s="14">
        <v>1020</v>
      </c>
      <c r="O85" s="54" t="s">
        <v>701</v>
      </c>
      <c r="P85" s="15" t="s">
        <v>850</v>
      </c>
      <c r="Q85" s="15">
        <f>P85*N85</f>
        <v>16.728000000000002</v>
      </c>
      <c r="R85" s="14"/>
    </row>
    <row r="86" spans="1:18" ht="24">
      <c r="A86" s="1"/>
      <c r="B86" s="17">
        <f t="shared" si="0"/>
        <v>79</v>
      </c>
      <c r="C86" s="23" t="s">
        <v>22</v>
      </c>
      <c r="D86" s="20" t="s">
        <v>105</v>
      </c>
      <c r="E86" s="20" t="s">
        <v>233</v>
      </c>
      <c r="F86" s="20" t="s">
        <v>306</v>
      </c>
      <c r="G86" s="20" t="s">
        <v>393</v>
      </c>
      <c r="H86" s="20" t="s">
        <v>438</v>
      </c>
      <c r="I86" s="14" t="s">
        <v>672</v>
      </c>
      <c r="J86" s="20" t="s">
        <v>543</v>
      </c>
      <c r="K86" s="20" t="s">
        <v>616</v>
      </c>
      <c r="L86" s="20">
        <v>8</v>
      </c>
      <c r="M86" s="14">
        <f t="shared" si="31"/>
        <v>8000</v>
      </c>
      <c r="N86" s="20">
        <v>8100</v>
      </c>
      <c r="O86" s="54" t="s">
        <v>701</v>
      </c>
      <c r="P86" s="21" t="s">
        <v>744</v>
      </c>
      <c r="Q86" s="21">
        <f t="shared" ref="Q86" si="38">P86*N86</f>
        <v>5.67</v>
      </c>
      <c r="R86" s="20"/>
    </row>
    <row r="87" spans="1:18">
      <c r="A87" s="1"/>
      <c r="B87" s="16">
        <f>ROW(B87) - ROW($B$7)</f>
        <v>80</v>
      </c>
      <c r="C87" s="22" t="s">
        <v>22</v>
      </c>
      <c r="D87" s="14" t="s">
        <v>106</v>
      </c>
      <c r="E87" s="14" t="s">
        <v>234</v>
      </c>
      <c r="F87" s="14" t="s">
        <v>306</v>
      </c>
      <c r="G87" s="14" t="s">
        <v>394</v>
      </c>
      <c r="H87" s="14" t="s">
        <v>438</v>
      </c>
      <c r="I87" s="14" t="s">
        <v>672</v>
      </c>
      <c r="J87" s="14" t="s">
        <v>544</v>
      </c>
      <c r="K87" s="14" t="s">
        <v>634</v>
      </c>
      <c r="L87" s="14">
        <v>4</v>
      </c>
      <c r="M87" s="14">
        <f t="shared" si="31"/>
        <v>4000</v>
      </c>
      <c r="N87" s="14">
        <v>4100</v>
      </c>
      <c r="O87" s="54" t="s">
        <v>701</v>
      </c>
      <c r="P87" s="15" t="s">
        <v>847</v>
      </c>
      <c r="Q87" s="15">
        <f>P87*N87</f>
        <v>4.0999999999999996</v>
      </c>
      <c r="R87" s="14"/>
    </row>
    <row r="88" spans="1:18">
      <c r="A88" s="1"/>
      <c r="B88" s="17">
        <f t="shared" si="0"/>
        <v>81</v>
      </c>
      <c r="C88" s="23" t="s">
        <v>23</v>
      </c>
      <c r="D88" s="20" t="s">
        <v>107</v>
      </c>
      <c r="E88" s="20" t="s">
        <v>235</v>
      </c>
      <c r="F88" s="20" t="s">
        <v>306</v>
      </c>
      <c r="G88" s="20" t="s">
        <v>395</v>
      </c>
      <c r="H88" s="20" t="s">
        <v>438</v>
      </c>
      <c r="I88" s="14" t="s">
        <v>672</v>
      </c>
      <c r="J88" s="20" t="s">
        <v>545</v>
      </c>
      <c r="K88" s="20" t="s">
        <v>621</v>
      </c>
      <c r="L88" s="20">
        <v>5</v>
      </c>
      <c r="M88" s="14">
        <f t="shared" si="31"/>
        <v>5000</v>
      </c>
      <c r="N88" s="20">
        <v>5100</v>
      </c>
      <c r="O88" s="54" t="s">
        <v>701</v>
      </c>
      <c r="P88" s="21" t="s">
        <v>746</v>
      </c>
      <c r="Q88" s="21">
        <f t="shared" ref="Q88" si="39">P88*N88</f>
        <v>3.0599999999999996</v>
      </c>
      <c r="R88" s="20"/>
    </row>
    <row r="89" spans="1:18">
      <c r="A89" s="1"/>
      <c r="B89" s="16">
        <f>ROW(B89) - ROW($B$7)</f>
        <v>82</v>
      </c>
      <c r="C89" s="22" t="s">
        <v>23</v>
      </c>
      <c r="D89" s="14" t="s">
        <v>108</v>
      </c>
      <c r="E89" s="14" t="s">
        <v>236</v>
      </c>
      <c r="F89" s="14" t="s">
        <v>306</v>
      </c>
      <c r="G89" s="14" t="s">
        <v>396</v>
      </c>
      <c r="H89" s="14" t="s">
        <v>438</v>
      </c>
      <c r="I89" s="14" t="s">
        <v>672</v>
      </c>
      <c r="J89" s="14" t="s">
        <v>546</v>
      </c>
      <c r="K89" s="14" t="s">
        <v>635</v>
      </c>
      <c r="L89" s="14">
        <v>1</v>
      </c>
      <c r="M89" s="14">
        <f t="shared" si="31"/>
        <v>1000</v>
      </c>
      <c r="N89" s="14">
        <v>1100</v>
      </c>
      <c r="O89" s="54" t="s">
        <v>701</v>
      </c>
      <c r="P89" s="15" t="s">
        <v>721</v>
      </c>
      <c r="Q89" s="15">
        <f>P89*N89</f>
        <v>1.21</v>
      </c>
      <c r="R89" s="14"/>
    </row>
    <row r="90" spans="1:18">
      <c r="A90" s="1"/>
      <c r="B90" s="17">
        <f t="shared" si="0"/>
        <v>83</v>
      </c>
      <c r="C90" s="22" t="s">
        <v>23</v>
      </c>
      <c r="D90" s="20" t="s">
        <v>109</v>
      </c>
      <c r="E90" s="20" t="s">
        <v>237</v>
      </c>
      <c r="F90" s="20" t="s">
        <v>306</v>
      </c>
      <c r="G90" s="20"/>
      <c r="H90" s="20"/>
      <c r="I90" s="14" t="s">
        <v>672</v>
      </c>
      <c r="J90" s="20" t="s">
        <v>547</v>
      </c>
      <c r="K90" s="20" t="s">
        <v>636</v>
      </c>
      <c r="L90" s="20">
        <v>2</v>
      </c>
      <c r="M90" s="14">
        <f t="shared" si="31"/>
        <v>2000</v>
      </c>
      <c r="N90" s="20">
        <v>2100</v>
      </c>
      <c r="O90" s="54" t="s">
        <v>701</v>
      </c>
      <c r="P90" s="21" t="s">
        <v>843</v>
      </c>
      <c r="Q90" s="21">
        <f t="shared" ref="Q90" si="40">P90*N90</f>
        <v>1.89</v>
      </c>
      <c r="R90" s="20"/>
    </row>
    <row r="91" spans="1:18">
      <c r="A91" s="1"/>
      <c r="B91" s="16">
        <f>ROW(B91) - ROW($B$7)</f>
        <v>84</v>
      </c>
      <c r="C91" s="22" t="s">
        <v>22</v>
      </c>
      <c r="D91" s="14" t="s">
        <v>110</v>
      </c>
      <c r="E91" s="14" t="s">
        <v>238</v>
      </c>
      <c r="F91" s="14" t="s">
        <v>306</v>
      </c>
      <c r="G91" s="14" t="s">
        <v>397</v>
      </c>
      <c r="H91" s="14" t="s">
        <v>438</v>
      </c>
      <c r="I91" s="14" t="s">
        <v>672</v>
      </c>
      <c r="J91" s="14" t="s">
        <v>548</v>
      </c>
      <c r="K91" s="14" t="s">
        <v>637</v>
      </c>
      <c r="L91" s="14">
        <v>1</v>
      </c>
      <c r="M91" s="14">
        <f t="shared" si="31"/>
        <v>1000</v>
      </c>
      <c r="N91" s="14">
        <v>1100</v>
      </c>
      <c r="O91" s="54" t="s">
        <v>701</v>
      </c>
      <c r="P91" s="15" t="s">
        <v>843</v>
      </c>
      <c r="Q91" s="15">
        <f>P91*N91</f>
        <v>0.99</v>
      </c>
      <c r="R91" s="14"/>
    </row>
    <row r="92" spans="1:18" ht="24">
      <c r="A92" s="1"/>
      <c r="B92" s="17">
        <f t="shared" si="0"/>
        <v>85</v>
      </c>
      <c r="C92" s="23" t="s">
        <v>22</v>
      </c>
      <c r="D92" s="20" t="s">
        <v>111</v>
      </c>
      <c r="E92" s="20" t="s">
        <v>239</v>
      </c>
      <c r="F92" s="20" t="s">
        <v>306</v>
      </c>
      <c r="G92" s="20" t="s">
        <v>398</v>
      </c>
      <c r="H92" s="20" t="s">
        <v>438</v>
      </c>
      <c r="I92" s="14" t="s">
        <v>672</v>
      </c>
      <c r="J92" s="20" t="s">
        <v>549</v>
      </c>
      <c r="K92" s="20" t="s">
        <v>638</v>
      </c>
      <c r="L92" s="20">
        <v>1</v>
      </c>
      <c r="M92" s="14">
        <f t="shared" si="31"/>
        <v>1000</v>
      </c>
      <c r="N92" s="20">
        <v>1020</v>
      </c>
      <c r="O92" s="54" t="s">
        <v>701</v>
      </c>
      <c r="P92" s="21" t="s">
        <v>851</v>
      </c>
      <c r="Q92" s="21">
        <f t="shared" ref="Q92" si="41">P92*N92</f>
        <v>17.135999999999999</v>
      </c>
      <c r="R92" s="20"/>
    </row>
    <row r="93" spans="1:18">
      <c r="A93" s="1"/>
      <c r="B93" s="16">
        <f>ROW(B93) - ROW($B$7)</f>
        <v>86</v>
      </c>
      <c r="C93" s="22" t="s">
        <v>23</v>
      </c>
      <c r="D93" s="14" t="s">
        <v>112</v>
      </c>
      <c r="E93" s="14" t="s">
        <v>240</v>
      </c>
      <c r="F93" s="14" t="s">
        <v>306</v>
      </c>
      <c r="G93" s="14" t="s">
        <v>399</v>
      </c>
      <c r="H93" s="14" t="s">
        <v>438</v>
      </c>
      <c r="I93" s="14" t="s">
        <v>672</v>
      </c>
      <c r="J93" s="14" t="s">
        <v>550</v>
      </c>
      <c r="K93" s="14" t="s">
        <v>639</v>
      </c>
      <c r="L93" s="14">
        <v>1</v>
      </c>
      <c r="M93" s="14">
        <f t="shared" si="31"/>
        <v>1000</v>
      </c>
      <c r="N93" s="14">
        <v>1100</v>
      </c>
      <c r="O93" s="54" t="s">
        <v>701</v>
      </c>
      <c r="P93" s="15" t="s">
        <v>847</v>
      </c>
      <c r="Q93" s="15">
        <f>P93*N93</f>
        <v>1.1000000000000001</v>
      </c>
      <c r="R93" s="14"/>
    </row>
    <row r="94" spans="1:18">
      <c r="A94" s="1"/>
      <c r="B94" s="17">
        <f t="shared" si="0"/>
        <v>87</v>
      </c>
      <c r="C94" s="23" t="s">
        <v>23</v>
      </c>
      <c r="D94" s="20" t="s">
        <v>113</v>
      </c>
      <c r="E94" s="20" t="s">
        <v>241</v>
      </c>
      <c r="F94" s="20" t="s">
        <v>305</v>
      </c>
      <c r="G94" s="20" t="s">
        <v>400</v>
      </c>
      <c r="H94" s="20" t="s">
        <v>438</v>
      </c>
      <c r="I94" s="14" t="s">
        <v>672</v>
      </c>
      <c r="J94" s="20" t="s">
        <v>551</v>
      </c>
      <c r="K94" s="20" t="s">
        <v>640</v>
      </c>
      <c r="L94" s="20">
        <v>1</v>
      </c>
      <c r="M94" s="14">
        <f t="shared" si="31"/>
        <v>1000</v>
      </c>
      <c r="N94" s="20">
        <v>1100</v>
      </c>
      <c r="O94" s="54" t="s">
        <v>701</v>
      </c>
      <c r="P94" s="21" t="s">
        <v>746</v>
      </c>
      <c r="Q94" s="21">
        <f t="shared" ref="Q94" si="42">P94*N94</f>
        <v>0.65999999999999992</v>
      </c>
      <c r="R94" s="20"/>
    </row>
    <row r="95" spans="1:18">
      <c r="A95" s="1"/>
      <c r="B95" s="16">
        <f>ROW(B95) - ROW($B$7)</f>
        <v>88</v>
      </c>
      <c r="C95" s="22" t="s">
        <v>23</v>
      </c>
      <c r="D95" s="14" t="s">
        <v>114</v>
      </c>
      <c r="E95" s="14" t="s">
        <v>242</v>
      </c>
      <c r="F95" s="14" t="s">
        <v>305</v>
      </c>
      <c r="G95" s="14" t="s">
        <v>401</v>
      </c>
      <c r="H95" s="14" t="s">
        <v>438</v>
      </c>
      <c r="I95" s="14" t="s">
        <v>672</v>
      </c>
      <c r="J95" s="14" t="s">
        <v>552</v>
      </c>
      <c r="K95" s="14" t="s">
        <v>641</v>
      </c>
      <c r="L95" s="14">
        <v>1</v>
      </c>
      <c r="M95" s="14">
        <f t="shared" si="31"/>
        <v>1000</v>
      </c>
      <c r="N95" s="14">
        <v>1100</v>
      </c>
      <c r="O95" s="54" t="s">
        <v>701</v>
      </c>
      <c r="P95" s="15" t="s">
        <v>746</v>
      </c>
      <c r="Q95" s="15">
        <f>P95*N95</f>
        <v>0.65999999999999992</v>
      </c>
      <c r="R95" s="14"/>
    </row>
    <row r="96" spans="1:18">
      <c r="A96" s="1"/>
      <c r="B96" s="17">
        <f t="shared" si="0"/>
        <v>89</v>
      </c>
      <c r="C96" s="23" t="s">
        <v>22</v>
      </c>
      <c r="D96" s="20" t="s">
        <v>115</v>
      </c>
      <c r="E96" s="20" t="s">
        <v>243</v>
      </c>
      <c r="F96" s="20" t="s">
        <v>306</v>
      </c>
      <c r="G96" s="20" t="s">
        <v>402</v>
      </c>
      <c r="H96" s="20" t="s">
        <v>438</v>
      </c>
      <c r="I96" s="14" t="s">
        <v>672</v>
      </c>
      <c r="J96" s="20" t="s">
        <v>553</v>
      </c>
      <c r="K96" s="20" t="s">
        <v>642</v>
      </c>
      <c r="L96" s="20">
        <v>1</v>
      </c>
      <c r="M96" s="14">
        <f t="shared" si="31"/>
        <v>1000</v>
      </c>
      <c r="N96" s="20">
        <v>1100</v>
      </c>
      <c r="O96" s="54" t="s">
        <v>701</v>
      </c>
      <c r="P96" s="21" t="s">
        <v>847</v>
      </c>
      <c r="Q96" s="21">
        <f t="shared" ref="Q96" si="43">P96*N96</f>
        <v>1.1000000000000001</v>
      </c>
      <c r="R96" s="20"/>
    </row>
    <row r="97" spans="1:18">
      <c r="A97" s="1"/>
      <c r="B97" s="16">
        <f>ROW(B97) - ROW($B$7)</f>
        <v>90</v>
      </c>
      <c r="C97" s="22" t="s">
        <v>23</v>
      </c>
      <c r="D97" s="14" t="s">
        <v>116</v>
      </c>
      <c r="E97" s="14" t="s">
        <v>244</v>
      </c>
      <c r="F97" s="14" t="s">
        <v>306</v>
      </c>
      <c r="G97" s="14" t="s">
        <v>403</v>
      </c>
      <c r="H97" s="14" t="s">
        <v>438</v>
      </c>
      <c r="I97" s="14" t="s">
        <v>672</v>
      </c>
      <c r="J97" s="14" t="s">
        <v>554</v>
      </c>
      <c r="K97" s="14" t="s">
        <v>643</v>
      </c>
      <c r="L97" s="14">
        <v>3</v>
      </c>
      <c r="M97" s="14">
        <f t="shared" si="31"/>
        <v>3000</v>
      </c>
      <c r="N97" s="14">
        <v>3100</v>
      </c>
      <c r="O97" s="54" t="s">
        <v>701</v>
      </c>
      <c r="P97" s="15" t="s">
        <v>843</v>
      </c>
      <c r="Q97" s="15">
        <f>P97*N97</f>
        <v>2.79</v>
      </c>
      <c r="R97" s="14"/>
    </row>
    <row r="98" spans="1:18" ht="24">
      <c r="A98" s="1"/>
      <c r="B98" s="17">
        <f t="shared" si="0"/>
        <v>91</v>
      </c>
      <c r="C98" s="23" t="s">
        <v>22</v>
      </c>
      <c r="D98" s="20" t="s">
        <v>117</v>
      </c>
      <c r="E98" s="20" t="s">
        <v>245</v>
      </c>
      <c r="F98" s="20" t="s">
        <v>306</v>
      </c>
      <c r="G98" s="20" t="s">
        <v>404</v>
      </c>
      <c r="H98" s="20" t="s">
        <v>438</v>
      </c>
      <c r="I98" s="14" t="s">
        <v>672</v>
      </c>
      <c r="J98" s="20" t="s">
        <v>555</v>
      </c>
      <c r="K98" s="20" t="s">
        <v>644</v>
      </c>
      <c r="L98" s="20">
        <v>6</v>
      </c>
      <c r="M98" s="14">
        <f t="shared" si="31"/>
        <v>6000</v>
      </c>
      <c r="N98" s="20">
        <v>6100</v>
      </c>
      <c r="O98" s="54" t="s">
        <v>701</v>
      </c>
      <c r="P98" s="21" t="s">
        <v>755</v>
      </c>
      <c r="Q98" s="21">
        <f t="shared" ref="Q98" si="44">P98*N98</f>
        <v>4.88</v>
      </c>
      <c r="R98" s="20"/>
    </row>
    <row r="99" spans="1:18">
      <c r="A99" s="1"/>
      <c r="B99" s="16">
        <f>ROW(B99) - ROW($B$7)</f>
        <v>92</v>
      </c>
      <c r="C99" s="22" t="s">
        <v>22</v>
      </c>
      <c r="D99" s="14" t="s">
        <v>118</v>
      </c>
      <c r="E99" s="14" t="s">
        <v>246</v>
      </c>
      <c r="F99" s="14" t="s">
        <v>306</v>
      </c>
      <c r="G99" s="14" t="s">
        <v>405</v>
      </c>
      <c r="H99" s="14" t="s">
        <v>438</v>
      </c>
      <c r="I99" s="14" t="s">
        <v>672</v>
      </c>
      <c r="J99" s="14" t="s">
        <v>556</v>
      </c>
      <c r="K99" s="14" t="s">
        <v>645</v>
      </c>
      <c r="L99" s="14">
        <v>1</v>
      </c>
      <c r="M99" s="14">
        <f t="shared" si="31"/>
        <v>1000</v>
      </c>
      <c r="N99" s="14">
        <v>1100</v>
      </c>
      <c r="O99" s="54" t="s">
        <v>701</v>
      </c>
      <c r="P99" s="15" t="s">
        <v>843</v>
      </c>
      <c r="Q99" s="15">
        <f>P99*N99</f>
        <v>0.99</v>
      </c>
      <c r="R99" s="14"/>
    </row>
    <row r="100" spans="1:18">
      <c r="A100" s="1"/>
      <c r="B100" s="17">
        <f t="shared" si="0"/>
        <v>93</v>
      </c>
      <c r="C100" s="22" t="s">
        <v>22</v>
      </c>
      <c r="D100" s="20" t="s">
        <v>119</v>
      </c>
      <c r="E100" s="20" t="s">
        <v>247</v>
      </c>
      <c r="F100" s="20" t="s">
        <v>306</v>
      </c>
      <c r="G100" s="20" t="s">
        <v>406</v>
      </c>
      <c r="H100" s="20" t="s">
        <v>438</v>
      </c>
      <c r="I100" s="14" t="s">
        <v>672</v>
      </c>
      <c r="J100" s="20" t="s">
        <v>557</v>
      </c>
      <c r="K100" s="20" t="s">
        <v>646</v>
      </c>
      <c r="L100" s="20">
        <v>1</v>
      </c>
      <c r="M100" s="14">
        <f t="shared" si="31"/>
        <v>1000</v>
      </c>
      <c r="N100" s="20">
        <v>1100</v>
      </c>
      <c r="O100" s="54" t="s">
        <v>701</v>
      </c>
      <c r="P100" s="21" t="s">
        <v>843</v>
      </c>
      <c r="Q100" s="21">
        <f t="shared" ref="Q100" si="45">P100*N100</f>
        <v>0.99</v>
      </c>
      <c r="R100" s="20"/>
    </row>
    <row r="101" spans="1:18" ht="24">
      <c r="A101" s="1"/>
      <c r="B101" s="16">
        <f>ROW(B101) - ROW($B$7)</f>
        <v>94</v>
      </c>
      <c r="C101" s="22" t="s">
        <v>22</v>
      </c>
      <c r="D101" s="14" t="s">
        <v>120</v>
      </c>
      <c r="E101" s="14" t="s">
        <v>248</v>
      </c>
      <c r="F101" s="14" t="s">
        <v>306</v>
      </c>
      <c r="G101" s="14" t="s">
        <v>407</v>
      </c>
      <c r="H101" s="14" t="s">
        <v>438</v>
      </c>
      <c r="I101" s="14" t="s">
        <v>672</v>
      </c>
      <c r="J101" s="14" t="s">
        <v>558</v>
      </c>
      <c r="K101" s="14" t="s">
        <v>647</v>
      </c>
      <c r="L101" s="14">
        <v>1</v>
      </c>
      <c r="M101" s="14">
        <f t="shared" si="31"/>
        <v>1000</v>
      </c>
      <c r="N101" s="14">
        <v>1100</v>
      </c>
      <c r="O101" s="54" t="s">
        <v>701</v>
      </c>
      <c r="P101" s="15" t="s">
        <v>755</v>
      </c>
      <c r="Q101" s="15">
        <f>P101*N101</f>
        <v>0.88</v>
      </c>
      <c r="R101" s="14"/>
    </row>
    <row r="102" spans="1:18">
      <c r="A102" s="1"/>
      <c r="B102" s="17">
        <f t="shared" si="0"/>
        <v>95</v>
      </c>
      <c r="C102" s="23" t="s">
        <v>22</v>
      </c>
      <c r="D102" s="20" t="s">
        <v>121</v>
      </c>
      <c r="E102" s="20" t="s">
        <v>249</v>
      </c>
      <c r="F102" s="20" t="s">
        <v>306</v>
      </c>
      <c r="G102" s="20" t="s">
        <v>408</v>
      </c>
      <c r="H102" s="20" t="s">
        <v>438</v>
      </c>
      <c r="I102" s="14" t="s">
        <v>672</v>
      </c>
      <c r="J102" s="20" t="s">
        <v>559</v>
      </c>
      <c r="K102" s="20" t="s">
        <v>648</v>
      </c>
      <c r="L102" s="20">
        <v>2</v>
      </c>
      <c r="M102" s="14">
        <f t="shared" si="31"/>
        <v>2000</v>
      </c>
      <c r="N102" s="20">
        <v>2100</v>
      </c>
      <c r="O102" s="54" t="s">
        <v>701</v>
      </c>
      <c r="P102" s="21" t="s">
        <v>852</v>
      </c>
      <c r="Q102" s="21">
        <f t="shared" ref="Q102" si="46">P102*N102</f>
        <v>4.62</v>
      </c>
      <c r="R102" s="20"/>
    </row>
    <row r="103" spans="1:18" ht="25.5">
      <c r="A103" s="1"/>
      <c r="B103" s="16">
        <f>ROW(B103) - ROW($B$7)</f>
        <v>96</v>
      </c>
      <c r="C103" s="22" t="s">
        <v>22</v>
      </c>
      <c r="D103" s="50" t="s">
        <v>122</v>
      </c>
      <c r="E103" s="50" t="s">
        <v>227</v>
      </c>
      <c r="F103" s="50" t="s">
        <v>306</v>
      </c>
      <c r="G103" s="50" t="s">
        <v>387</v>
      </c>
      <c r="H103" s="50" t="s">
        <v>438</v>
      </c>
      <c r="I103" s="50" t="s">
        <v>672</v>
      </c>
      <c r="J103" s="50" t="s">
        <v>537</v>
      </c>
      <c r="K103" s="50" t="s">
        <v>609</v>
      </c>
      <c r="L103" s="50">
        <v>2</v>
      </c>
      <c r="M103" s="14">
        <f t="shared" si="31"/>
        <v>2000</v>
      </c>
      <c r="N103" s="50" t="s">
        <v>870</v>
      </c>
      <c r="O103" s="54" t="s">
        <v>672</v>
      </c>
      <c r="P103" s="51" t="s">
        <v>672</v>
      </c>
      <c r="Q103" s="51" t="s">
        <v>672</v>
      </c>
      <c r="R103" s="53" t="s">
        <v>688</v>
      </c>
    </row>
    <row r="104" spans="1:18" ht="48">
      <c r="A104" s="1"/>
      <c r="B104" s="17">
        <f t="shared" si="0"/>
        <v>97</v>
      </c>
      <c r="C104" s="23" t="s">
        <v>23</v>
      </c>
      <c r="D104" s="20" t="s">
        <v>123</v>
      </c>
      <c r="E104" s="20" t="s">
        <v>250</v>
      </c>
      <c r="F104" s="20" t="s">
        <v>305</v>
      </c>
      <c r="G104" s="20" t="s">
        <v>409</v>
      </c>
      <c r="H104" s="20" t="s">
        <v>438</v>
      </c>
      <c r="I104" s="20" t="s">
        <v>672</v>
      </c>
      <c r="J104" s="20" t="s">
        <v>560</v>
      </c>
      <c r="K104" s="20" t="s">
        <v>649</v>
      </c>
      <c r="L104" s="20">
        <v>1</v>
      </c>
      <c r="M104" s="14">
        <f t="shared" si="31"/>
        <v>1000</v>
      </c>
      <c r="N104" s="20">
        <v>1020</v>
      </c>
      <c r="O104" s="54" t="s">
        <v>701</v>
      </c>
      <c r="P104" s="21" t="s">
        <v>853</v>
      </c>
      <c r="Q104" s="21">
        <f t="shared" ref="Q104" si="47">P104*N104</f>
        <v>15.606</v>
      </c>
      <c r="R104" s="20"/>
    </row>
    <row r="105" spans="1:18">
      <c r="A105" s="1"/>
      <c r="B105" s="16">
        <f>ROW(B105) - ROW($B$7)</f>
        <v>98</v>
      </c>
      <c r="C105" s="22" t="s">
        <v>23</v>
      </c>
      <c r="D105" s="14" t="s">
        <v>124</v>
      </c>
      <c r="E105" s="14" t="s">
        <v>251</v>
      </c>
      <c r="F105" s="14" t="s">
        <v>306</v>
      </c>
      <c r="G105" s="14" t="s">
        <v>410</v>
      </c>
      <c r="H105" s="14" t="s">
        <v>438</v>
      </c>
      <c r="I105" s="20" t="s">
        <v>672</v>
      </c>
      <c r="J105" s="14" t="s">
        <v>561</v>
      </c>
      <c r="K105" s="14" t="s">
        <v>650</v>
      </c>
      <c r="L105" s="14">
        <v>1</v>
      </c>
      <c r="M105" s="14">
        <f t="shared" si="31"/>
        <v>1000</v>
      </c>
      <c r="N105" s="14">
        <v>1100</v>
      </c>
      <c r="O105" s="54" t="s">
        <v>701</v>
      </c>
      <c r="P105" s="15" t="s">
        <v>843</v>
      </c>
      <c r="Q105" s="15">
        <f>P105*N105</f>
        <v>0.99</v>
      </c>
      <c r="R105" s="14"/>
    </row>
    <row r="106" spans="1:18" ht="24">
      <c r="A106" s="1"/>
      <c r="B106" s="17">
        <f t="shared" si="0"/>
        <v>99</v>
      </c>
      <c r="C106" s="23" t="s">
        <v>22</v>
      </c>
      <c r="D106" s="20" t="s">
        <v>125</v>
      </c>
      <c r="E106" s="20" t="s">
        <v>252</v>
      </c>
      <c r="F106" s="20" t="s">
        <v>306</v>
      </c>
      <c r="G106" s="20" t="s">
        <v>411</v>
      </c>
      <c r="H106" s="20" t="s">
        <v>438</v>
      </c>
      <c r="I106" s="20" t="s">
        <v>672</v>
      </c>
      <c r="J106" s="20" t="s">
        <v>562</v>
      </c>
      <c r="K106" s="20" t="s">
        <v>651</v>
      </c>
      <c r="L106" s="20">
        <v>1</v>
      </c>
      <c r="M106" s="14">
        <f t="shared" si="31"/>
        <v>1000</v>
      </c>
      <c r="N106" s="20">
        <v>1100</v>
      </c>
      <c r="O106" s="54" t="s">
        <v>701</v>
      </c>
      <c r="P106" s="21" t="s">
        <v>847</v>
      </c>
      <c r="Q106" s="21">
        <f t="shared" ref="Q106" si="48">P106*N106</f>
        <v>1.1000000000000001</v>
      </c>
      <c r="R106" s="20"/>
    </row>
    <row r="107" spans="1:18">
      <c r="A107" s="1"/>
      <c r="B107" s="16">
        <f>ROW(B107) - ROW($B$7)</f>
        <v>100</v>
      </c>
      <c r="C107" s="22" t="s">
        <v>22</v>
      </c>
      <c r="D107" s="14" t="s">
        <v>126</v>
      </c>
      <c r="E107" s="14" t="s">
        <v>253</v>
      </c>
      <c r="F107" s="14" t="s">
        <v>306</v>
      </c>
      <c r="G107" s="14" t="s">
        <v>412</v>
      </c>
      <c r="H107" s="14" t="s">
        <v>438</v>
      </c>
      <c r="I107" s="20" t="s">
        <v>672</v>
      </c>
      <c r="J107" s="14" t="s">
        <v>563</v>
      </c>
      <c r="K107" s="14" t="s">
        <v>622</v>
      </c>
      <c r="L107" s="14">
        <v>1</v>
      </c>
      <c r="M107" s="14">
        <f t="shared" si="31"/>
        <v>1000</v>
      </c>
      <c r="N107" s="14">
        <v>1100</v>
      </c>
      <c r="O107" s="54" t="s">
        <v>701</v>
      </c>
      <c r="P107" s="15" t="s">
        <v>755</v>
      </c>
      <c r="Q107" s="15">
        <f>P107*N107</f>
        <v>0.88</v>
      </c>
      <c r="R107" s="14"/>
    </row>
    <row r="108" spans="1:18" ht="25.5">
      <c r="A108" s="1"/>
      <c r="B108" s="17">
        <f t="shared" si="0"/>
        <v>101</v>
      </c>
      <c r="C108" s="23" t="s">
        <v>22</v>
      </c>
      <c r="D108" s="50" t="s">
        <v>127</v>
      </c>
      <c r="E108" s="50" t="s">
        <v>245</v>
      </c>
      <c r="F108" s="50" t="s">
        <v>306</v>
      </c>
      <c r="G108" s="50" t="s">
        <v>404</v>
      </c>
      <c r="H108" s="50" t="s">
        <v>438</v>
      </c>
      <c r="I108" s="50" t="s">
        <v>672</v>
      </c>
      <c r="J108" s="50" t="s">
        <v>555</v>
      </c>
      <c r="K108" s="50" t="s">
        <v>609</v>
      </c>
      <c r="L108" s="50">
        <v>1</v>
      </c>
      <c r="M108" s="14">
        <f t="shared" si="31"/>
        <v>1000</v>
      </c>
      <c r="N108" s="50" t="s">
        <v>869</v>
      </c>
      <c r="O108" s="54" t="s">
        <v>672</v>
      </c>
      <c r="P108" s="51" t="s">
        <v>672</v>
      </c>
      <c r="Q108" s="51" t="s">
        <v>672</v>
      </c>
      <c r="R108" s="53" t="s">
        <v>688</v>
      </c>
    </row>
    <row r="109" spans="1:18">
      <c r="A109" s="1"/>
      <c r="B109" s="16">
        <f>ROW(B109) - ROW($B$7)</f>
        <v>102</v>
      </c>
      <c r="C109" s="22" t="s">
        <v>23</v>
      </c>
      <c r="D109" s="14" t="s">
        <v>128</v>
      </c>
      <c r="E109" s="14" t="s">
        <v>254</v>
      </c>
      <c r="F109" s="14" t="s">
        <v>306</v>
      </c>
      <c r="G109" s="14" t="s">
        <v>413</v>
      </c>
      <c r="H109" s="14" t="s">
        <v>438</v>
      </c>
      <c r="I109" s="14" t="s">
        <v>672</v>
      </c>
      <c r="J109" s="14" t="s">
        <v>564</v>
      </c>
      <c r="K109" s="14" t="s">
        <v>613</v>
      </c>
      <c r="L109" s="14">
        <v>1</v>
      </c>
      <c r="M109" s="14">
        <f t="shared" si="31"/>
        <v>1000</v>
      </c>
      <c r="N109" s="14">
        <v>1100</v>
      </c>
      <c r="O109" s="54" t="s">
        <v>701</v>
      </c>
      <c r="P109" s="15" t="s">
        <v>843</v>
      </c>
      <c r="Q109" s="15">
        <f>P109*N109</f>
        <v>0.99</v>
      </c>
      <c r="R109" s="14"/>
    </row>
    <row r="110" spans="1:18" ht="25.5">
      <c r="A110" s="1"/>
      <c r="B110" s="17">
        <f t="shared" si="0"/>
        <v>103</v>
      </c>
      <c r="C110" s="23" t="s">
        <v>22</v>
      </c>
      <c r="D110" s="50" t="s">
        <v>129</v>
      </c>
      <c r="E110" s="50" t="s">
        <v>253</v>
      </c>
      <c r="F110" s="50" t="s">
        <v>306</v>
      </c>
      <c r="G110" s="50" t="s">
        <v>412</v>
      </c>
      <c r="H110" s="50" t="s">
        <v>438</v>
      </c>
      <c r="I110" s="50" t="s">
        <v>672</v>
      </c>
      <c r="J110" s="50" t="s">
        <v>563</v>
      </c>
      <c r="K110" s="50" t="s">
        <v>609</v>
      </c>
      <c r="L110" s="50">
        <v>1</v>
      </c>
      <c r="M110" s="14">
        <f t="shared" si="31"/>
        <v>1000</v>
      </c>
      <c r="N110" s="50" t="s">
        <v>869</v>
      </c>
      <c r="O110" s="54" t="s">
        <v>672</v>
      </c>
      <c r="P110" s="51" t="s">
        <v>672</v>
      </c>
      <c r="Q110" s="51" t="s">
        <v>672</v>
      </c>
      <c r="R110" s="53" t="s">
        <v>688</v>
      </c>
    </row>
    <row r="111" spans="1:18">
      <c r="A111" s="1"/>
      <c r="B111" s="16">
        <f>ROW(B111) - ROW($B$7)</f>
        <v>104</v>
      </c>
      <c r="C111" s="22" t="s">
        <v>22</v>
      </c>
      <c r="D111" s="14" t="s">
        <v>130</v>
      </c>
      <c r="E111" s="14" t="s">
        <v>255</v>
      </c>
      <c r="F111" s="14" t="s">
        <v>306</v>
      </c>
      <c r="G111" s="14" t="s">
        <v>414</v>
      </c>
      <c r="H111" s="14" t="s">
        <v>438</v>
      </c>
      <c r="I111" s="14" t="s">
        <v>672</v>
      </c>
      <c r="J111" s="14" t="s">
        <v>565</v>
      </c>
      <c r="K111" s="14" t="s">
        <v>652</v>
      </c>
      <c r="L111" s="14">
        <v>4</v>
      </c>
      <c r="M111" s="14">
        <f t="shared" si="31"/>
        <v>4000</v>
      </c>
      <c r="N111" s="14">
        <v>4100</v>
      </c>
      <c r="O111" s="54" t="s">
        <v>701</v>
      </c>
      <c r="P111" s="15" t="s">
        <v>843</v>
      </c>
      <c r="Q111" s="15">
        <f>P111*N111</f>
        <v>3.69</v>
      </c>
      <c r="R111" s="14"/>
    </row>
    <row r="112" spans="1:18" ht="24">
      <c r="A112" s="1"/>
      <c r="B112" s="17">
        <f t="shared" si="0"/>
        <v>105</v>
      </c>
      <c r="C112" s="23" t="s">
        <v>22</v>
      </c>
      <c r="D112" s="20" t="s">
        <v>131</v>
      </c>
      <c r="E112" s="20" t="s">
        <v>256</v>
      </c>
      <c r="F112" s="20" t="s">
        <v>306</v>
      </c>
      <c r="G112" s="20" t="s">
        <v>415</v>
      </c>
      <c r="H112" s="20" t="s">
        <v>438</v>
      </c>
      <c r="I112" s="20" t="s">
        <v>672</v>
      </c>
      <c r="J112" s="20" t="s">
        <v>566</v>
      </c>
      <c r="K112" s="20" t="s">
        <v>623</v>
      </c>
      <c r="L112" s="20">
        <v>1</v>
      </c>
      <c r="M112" s="14">
        <f t="shared" si="31"/>
        <v>1000</v>
      </c>
      <c r="N112" s="20">
        <v>1100</v>
      </c>
      <c r="O112" s="54" t="s">
        <v>701</v>
      </c>
      <c r="P112" s="21" t="s">
        <v>755</v>
      </c>
      <c r="Q112" s="21">
        <f t="shared" ref="Q112" si="49">P112*N112</f>
        <v>0.88</v>
      </c>
      <c r="R112" s="20"/>
    </row>
    <row r="113" spans="1:18" ht="25.5">
      <c r="A113" s="1"/>
      <c r="B113" s="16">
        <f>ROW(B113) - ROW($B$7)</f>
        <v>106</v>
      </c>
      <c r="C113" s="22" t="s">
        <v>22</v>
      </c>
      <c r="D113" s="50" t="s">
        <v>132</v>
      </c>
      <c r="E113" s="50" t="s">
        <v>249</v>
      </c>
      <c r="F113" s="50" t="s">
        <v>306</v>
      </c>
      <c r="G113" s="50" t="s">
        <v>408</v>
      </c>
      <c r="H113" s="50" t="s">
        <v>438</v>
      </c>
      <c r="I113" s="50" t="s">
        <v>672</v>
      </c>
      <c r="J113" s="50" t="s">
        <v>559</v>
      </c>
      <c r="K113" s="50" t="s">
        <v>609</v>
      </c>
      <c r="L113" s="50">
        <v>1</v>
      </c>
      <c r="M113" s="14">
        <f t="shared" si="31"/>
        <v>1000</v>
      </c>
      <c r="N113" s="50" t="s">
        <v>869</v>
      </c>
      <c r="O113" s="54" t="s">
        <v>672</v>
      </c>
      <c r="P113" s="51" t="s">
        <v>672</v>
      </c>
      <c r="Q113" s="51" t="s">
        <v>672</v>
      </c>
      <c r="R113" s="53" t="s">
        <v>688</v>
      </c>
    </row>
    <row r="114" spans="1:18" ht="25.5">
      <c r="A114" s="1"/>
      <c r="B114" s="17">
        <f t="shared" si="0"/>
        <v>107</v>
      </c>
      <c r="C114" s="23" t="s">
        <v>23</v>
      </c>
      <c r="D114" s="50" t="s">
        <v>133</v>
      </c>
      <c r="E114" s="50" t="s">
        <v>223</v>
      </c>
      <c r="F114" s="50" t="s">
        <v>305</v>
      </c>
      <c r="G114" s="50" t="s">
        <v>383</v>
      </c>
      <c r="H114" s="50" t="s">
        <v>438</v>
      </c>
      <c r="I114" s="50" t="s">
        <v>672</v>
      </c>
      <c r="J114" s="50" t="s">
        <v>533</v>
      </c>
      <c r="K114" s="50" t="s">
        <v>609</v>
      </c>
      <c r="L114" s="50">
        <v>2</v>
      </c>
      <c r="M114" s="14">
        <f t="shared" si="31"/>
        <v>2000</v>
      </c>
      <c r="N114" s="50" t="s">
        <v>870</v>
      </c>
      <c r="O114" s="54" t="s">
        <v>672</v>
      </c>
      <c r="P114" s="51" t="s">
        <v>672</v>
      </c>
      <c r="Q114" s="51" t="s">
        <v>672</v>
      </c>
      <c r="R114" s="53" t="s">
        <v>688</v>
      </c>
    </row>
    <row r="115" spans="1:18" ht="24">
      <c r="A115" s="1"/>
      <c r="B115" s="17">
        <f t="shared" si="0"/>
        <v>108</v>
      </c>
      <c r="C115" s="23" t="s">
        <v>23</v>
      </c>
      <c r="D115" s="14" t="s">
        <v>134</v>
      </c>
      <c r="E115" s="47" t="s">
        <v>257</v>
      </c>
      <c r="F115" s="14" t="s">
        <v>305</v>
      </c>
      <c r="G115" s="47" t="s">
        <v>416</v>
      </c>
      <c r="H115" s="14" t="s">
        <v>438</v>
      </c>
      <c r="I115" s="47" t="s">
        <v>672</v>
      </c>
      <c r="J115" s="14" t="s">
        <v>567</v>
      </c>
      <c r="K115" s="14" t="s">
        <v>653</v>
      </c>
      <c r="L115" s="20">
        <v>1</v>
      </c>
      <c r="M115" s="14">
        <f t="shared" si="31"/>
        <v>1000</v>
      </c>
      <c r="N115" s="20">
        <v>1100</v>
      </c>
      <c r="O115" s="54" t="s">
        <v>701</v>
      </c>
      <c r="P115" s="21" t="s">
        <v>841</v>
      </c>
      <c r="Q115" s="21">
        <f t="shared" ref="Q115" si="50">P115*N115</f>
        <v>0.55000000000000004</v>
      </c>
      <c r="R115" s="20"/>
    </row>
    <row r="116" spans="1:18" ht="24">
      <c r="A116" s="1"/>
      <c r="B116" s="16">
        <f>ROW(B116) - ROW($B$7)</f>
        <v>109</v>
      </c>
      <c r="C116" s="22" t="s">
        <v>24</v>
      </c>
      <c r="D116" s="14" t="s">
        <v>135</v>
      </c>
      <c r="E116" s="14" t="s">
        <v>258</v>
      </c>
      <c r="F116" s="20" t="s">
        <v>674</v>
      </c>
      <c r="G116" s="14" t="s">
        <v>307</v>
      </c>
      <c r="H116" s="14" t="s">
        <v>457</v>
      </c>
      <c r="I116" s="47" t="s">
        <v>672</v>
      </c>
      <c r="J116" s="14" t="s">
        <v>568</v>
      </c>
      <c r="K116" s="14" t="s">
        <v>672</v>
      </c>
      <c r="L116" s="14">
        <v>1</v>
      </c>
      <c r="M116" s="14">
        <f t="shared" si="31"/>
        <v>1000</v>
      </c>
      <c r="N116" s="14">
        <v>1002</v>
      </c>
      <c r="O116" s="54" t="s">
        <v>701</v>
      </c>
      <c r="P116" s="15" t="s">
        <v>854</v>
      </c>
      <c r="Q116" s="15">
        <f>P116*N116</f>
        <v>236.27160000000001</v>
      </c>
      <c r="R116" s="14"/>
    </row>
    <row r="117" spans="1:18" ht="60">
      <c r="A117" s="1"/>
      <c r="B117" s="17">
        <f t="shared" si="0"/>
        <v>110</v>
      </c>
      <c r="C117" s="23" t="s">
        <v>25</v>
      </c>
      <c r="D117" s="20" t="s">
        <v>136</v>
      </c>
      <c r="E117" s="20" t="s">
        <v>259</v>
      </c>
      <c r="F117" s="20" t="s">
        <v>674</v>
      </c>
      <c r="G117" s="20" t="s">
        <v>308</v>
      </c>
      <c r="H117" s="20" t="s">
        <v>458</v>
      </c>
      <c r="I117" s="47" t="s">
        <v>672</v>
      </c>
      <c r="J117" s="20" t="s">
        <v>569</v>
      </c>
      <c r="K117" s="14" t="s">
        <v>672</v>
      </c>
      <c r="L117" s="20">
        <v>1</v>
      </c>
      <c r="M117" s="14">
        <f t="shared" si="31"/>
        <v>1000</v>
      </c>
      <c r="N117" s="20">
        <v>1010</v>
      </c>
      <c r="O117" s="54" t="s">
        <v>701</v>
      </c>
      <c r="P117" s="21" t="s">
        <v>751</v>
      </c>
      <c r="Q117" s="21">
        <f t="shared" ref="Q117" si="51">P117*N117</f>
        <v>25.148999999999997</v>
      </c>
      <c r="R117" s="20"/>
    </row>
    <row r="118" spans="1:18" ht="48">
      <c r="A118" s="1"/>
      <c r="B118" s="16">
        <f>ROW(B118) - ROW($B$7)</f>
        <v>111</v>
      </c>
      <c r="C118" s="22" t="s">
        <v>25</v>
      </c>
      <c r="D118" s="14" t="s">
        <v>137</v>
      </c>
      <c r="E118" s="14" t="s">
        <v>260</v>
      </c>
      <c r="F118" s="20" t="s">
        <v>674</v>
      </c>
      <c r="G118" s="14" t="s">
        <v>309</v>
      </c>
      <c r="H118" s="14" t="s">
        <v>458</v>
      </c>
      <c r="I118" s="47" t="s">
        <v>672</v>
      </c>
      <c r="J118" s="14" t="s">
        <v>570</v>
      </c>
      <c r="K118" s="14" t="s">
        <v>672</v>
      </c>
      <c r="L118" s="14">
        <v>4</v>
      </c>
      <c r="M118" s="14">
        <f t="shared" si="31"/>
        <v>4000</v>
      </c>
      <c r="N118" s="14">
        <v>4010</v>
      </c>
      <c r="O118" s="54" t="s">
        <v>701</v>
      </c>
      <c r="P118" s="15" t="s">
        <v>855</v>
      </c>
      <c r="Q118" s="15">
        <f>P118*N118</f>
        <v>124.711</v>
      </c>
      <c r="R118" s="14"/>
    </row>
    <row r="119" spans="1:18" ht="36">
      <c r="A119" s="1"/>
      <c r="B119" s="17">
        <f t="shared" si="0"/>
        <v>112</v>
      </c>
      <c r="C119" s="23" t="s">
        <v>26</v>
      </c>
      <c r="D119" s="20" t="s">
        <v>138</v>
      </c>
      <c r="E119" s="20" t="s">
        <v>261</v>
      </c>
      <c r="F119" s="20" t="s">
        <v>310</v>
      </c>
      <c r="G119" s="20" t="s">
        <v>417</v>
      </c>
      <c r="H119" s="20" t="s">
        <v>459</v>
      </c>
      <c r="I119" s="47" t="s">
        <v>672</v>
      </c>
      <c r="J119" s="20" t="s">
        <v>571</v>
      </c>
      <c r="K119" s="14" t="s">
        <v>672</v>
      </c>
      <c r="L119" s="20">
        <v>1</v>
      </c>
      <c r="M119" s="14">
        <f t="shared" si="31"/>
        <v>1000</v>
      </c>
      <c r="N119" s="20">
        <v>1002</v>
      </c>
      <c r="O119" s="54" t="s">
        <v>701</v>
      </c>
      <c r="P119" s="21" t="s">
        <v>856</v>
      </c>
      <c r="Q119" s="21">
        <f t="shared" ref="Q119" si="52">P119*N119</f>
        <v>3458.904</v>
      </c>
      <c r="R119" s="20"/>
    </row>
    <row r="120" spans="1:18" ht="24">
      <c r="A120" s="1"/>
      <c r="B120" s="16">
        <f>ROW(B120) - ROW($B$7)</f>
        <v>113</v>
      </c>
      <c r="C120" s="22" t="s">
        <v>26</v>
      </c>
      <c r="D120" s="14" t="s">
        <v>139</v>
      </c>
      <c r="E120" s="14" t="s">
        <v>262</v>
      </c>
      <c r="F120" s="14" t="s">
        <v>311</v>
      </c>
      <c r="G120" s="14" t="s">
        <v>418</v>
      </c>
      <c r="H120" s="14" t="s">
        <v>460</v>
      </c>
      <c r="I120" s="47" t="s">
        <v>672</v>
      </c>
      <c r="J120" s="14" t="s">
        <v>572</v>
      </c>
      <c r="K120" s="14" t="s">
        <v>672</v>
      </c>
      <c r="L120" s="14">
        <v>1</v>
      </c>
      <c r="M120" s="14">
        <f t="shared" si="31"/>
        <v>1000</v>
      </c>
      <c r="N120" s="14">
        <v>1002</v>
      </c>
      <c r="O120" s="54" t="s">
        <v>701</v>
      </c>
      <c r="P120" s="15" t="s">
        <v>857</v>
      </c>
      <c r="Q120" s="15">
        <f>P120*N120</f>
        <v>408.9162</v>
      </c>
      <c r="R120" s="14"/>
    </row>
    <row r="121" spans="1:18" ht="36">
      <c r="A121" s="1"/>
      <c r="B121" s="17">
        <f t="shared" si="0"/>
        <v>114</v>
      </c>
      <c r="C121" s="23" t="s">
        <v>26</v>
      </c>
      <c r="D121" s="20" t="s">
        <v>140</v>
      </c>
      <c r="E121" s="20" t="s">
        <v>263</v>
      </c>
      <c r="F121" s="20" t="s">
        <v>312</v>
      </c>
      <c r="G121" s="20" t="s">
        <v>419</v>
      </c>
      <c r="H121" s="20" t="s">
        <v>461</v>
      </c>
      <c r="I121" s="47" t="s">
        <v>672</v>
      </c>
      <c r="J121" s="20" t="s">
        <v>573</v>
      </c>
      <c r="K121" s="14" t="s">
        <v>672</v>
      </c>
      <c r="L121" s="20">
        <v>1</v>
      </c>
      <c r="M121" s="14">
        <f t="shared" si="31"/>
        <v>1000</v>
      </c>
      <c r="N121" s="20">
        <v>1002</v>
      </c>
      <c r="O121" s="54" t="s">
        <v>701</v>
      </c>
      <c r="P121" s="21" t="s">
        <v>858</v>
      </c>
      <c r="Q121" s="21">
        <f t="shared" ref="Q121" si="53">P121*N121</f>
        <v>277.8546</v>
      </c>
      <c r="R121" s="20"/>
    </row>
    <row r="122" spans="1:18" ht="24">
      <c r="A122" s="1"/>
      <c r="B122" s="16">
        <f>ROW(B122) - ROW($B$7)</f>
        <v>115</v>
      </c>
      <c r="C122" s="22" t="s">
        <v>26</v>
      </c>
      <c r="D122" s="14" t="s">
        <v>141</v>
      </c>
      <c r="E122" s="14" t="s">
        <v>264</v>
      </c>
      <c r="F122" s="14" t="s">
        <v>313</v>
      </c>
      <c r="G122" s="14" t="s">
        <v>420</v>
      </c>
      <c r="H122" s="14" t="s">
        <v>462</v>
      </c>
      <c r="I122" s="47" t="s">
        <v>672</v>
      </c>
      <c r="J122" s="14" t="s">
        <v>574</v>
      </c>
      <c r="K122" s="14" t="s">
        <v>672</v>
      </c>
      <c r="L122" s="14">
        <v>1</v>
      </c>
      <c r="M122" s="14">
        <f t="shared" si="31"/>
        <v>1000</v>
      </c>
      <c r="N122" s="14">
        <v>1002</v>
      </c>
      <c r="O122" s="54" t="s">
        <v>701</v>
      </c>
      <c r="P122" s="15" t="s">
        <v>859</v>
      </c>
      <c r="Q122" s="15">
        <f>P122*N122</f>
        <v>320.23919999999998</v>
      </c>
      <c r="R122" s="14"/>
    </row>
    <row r="123" spans="1:18" ht="24">
      <c r="A123" s="1"/>
      <c r="B123" s="17">
        <f t="shared" si="0"/>
        <v>116</v>
      </c>
      <c r="C123" s="23" t="s">
        <v>26</v>
      </c>
      <c r="D123" s="20" t="s">
        <v>142</v>
      </c>
      <c r="E123" s="20" t="s">
        <v>265</v>
      </c>
      <c r="F123" s="20" t="s">
        <v>314</v>
      </c>
      <c r="G123" s="20" t="s">
        <v>421</v>
      </c>
      <c r="H123" s="20" t="s">
        <v>463</v>
      </c>
      <c r="I123" s="47" t="s">
        <v>672</v>
      </c>
      <c r="J123" s="20" t="s">
        <v>575</v>
      </c>
      <c r="K123" s="14" t="s">
        <v>672</v>
      </c>
      <c r="L123" s="20">
        <v>1</v>
      </c>
      <c r="M123" s="14">
        <f t="shared" si="31"/>
        <v>1000</v>
      </c>
      <c r="N123" s="20">
        <v>1002</v>
      </c>
      <c r="O123" s="54" t="s">
        <v>701</v>
      </c>
      <c r="P123" s="21" t="s">
        <v>860</v>
      </c>
      <c r="Q123" s="21">
        <f t="shared" ref="Q123" si="54">P123*N123</f>
        <v>239.77860000000001</v>
      </c>
      <c r="R123" s="20"/>
    </row>
    <row r="124" spans="1:18" ht="24">
      <c r="A124" s="1"/>
      <c r="B124" s="16">
        <f>ROW(B124) - ROW($B$7)</f>
        <v>117</v>
      </c>
      <c r="C124" s="22" t="s">
        <v>26</v>
      </c>
      <c r="D124" s="14" t="s">
        <v>143</v>
      </c>
      <c r="E124" s="14" t="s">
        <v>266</v>
      </c>
      <c r="F124" s="14" t="s">
        <v>315</v>
      </c>
      <c r="G124" s="14" t="s">
        <v>422</v>
      </c>
      <c r="H124" s="14" t="s">
        <v>463</v>
      </c>
      <c r="I124" s="47" t="s">
        <v>672</v>
      </c>
      <c r="J124" s="14" t="s">
        <v>576</v>
      </c>
      <c r="K124" s="14" t="s">
        <v>672</v>
      </c>
      <c r="L124" s="14">
        <v>1</v>
      </c>
      <c r="M124" s="14">
        <f t="shared" si="31"/>
        <v>1000</v>
      </c>
      <c r="N124" s="14">
        <v>1002</v>
      </c>
      <c r="O124" s="54" t="s">
        <v>701</v>
      </c>
      <c r="P124" s="15" t="s">
        <v>861</v>
      </c>
      <c r="Q124" s="15">
        <f>P124*N124</f>
        <v>264.52800000000002</v>
      </c>
      <c r="R124" s="14"/>
    </row>
    <row r="125" spans="1:18" ht="24">
      <c r="A125" s="1"/>
      <c r="B125" s="17">
        <f t="shared" si="0"/>
        <v>118</v>
      </c>
      <c r="C125" s="23" t="s">
        <v>26</v>
      </c>
      <c r="D125" s="20" t="s">
        <v>144</v>
      </c>
      <c r="E125" s="20" t="s">
        <v>267</v>
      </c>
      <c r="F125" s="20" t="s">
        <v>316</v>
      </c>
      <c r="G125" s="20" t="s">
        <v>423</v>
      </c>
      <c r="H125" s="20" t="s">
        <v>463</v>
      </c>
      <c r="I125" s="47" t="s">
        <v>672</v>
      </c>
      <c r="J125" s="20" t="s">
        <v>577</v>
      </c>
      <c r="K125" s="14" t="s">
        <v>672</v>
      </c>
      <c r="L125" s="20">
        <v>1</v>
      </c>
      <c r="M125" s="14">
        <f t="shared" si="31"/>
        <v>1000</v>
      </c>
      <c r="N125" s="20">
        <v>1005</v>
      </c>
      <c r="O125" s="54" t="s">
        <v>701</v>
      </c>
      <c r="P125" s="21" t="s">
        <v>862</v>
      </c>
      <c r="Q125" s="21">
        <f t="shared" ref="Q125" si="55">P125*N125</f>
        <v>53.164500000000004</v>
      </c>
      <c r="R125" s="20"/>
    </row>
    <row r="126" spans="1:18" ht="24">
      <c r="A126" s="1"/>
      <c r="B126" s="16">
        <f>ROW(B126) - ROW($B$7)</f>
        <v>119</v>
      </c>
      <c r="C126" s="22" t="s">
        <v>26</v>
      </c>
      <c r="D126" s="14" t="s">
        <v>145</v>
      </c>
      <c r="E126" s="14" t="s">
        <v>268</v>
      </c>
      <c r="F126" s="14" t="s">
        <v>317</v>
      </c>
      <c r="G126" s="14" t="s">
        <v>424</v>
      </c>
      <c r="H126" s="14" t="s">
        <v>463</v>
      </c>
      <c r="I126" s="47" t="s">
        <v>672</v>
      </c>
      <c r="J126" s="14" t="s">
        <v>578</v>
      </c>
      <c r="K126" s="14" t="s">
        <v>672</v>
      </c>
      <c r="L126" s="14">
        <v>1</v>
      </c>
      <c r="M126" s="14">
        <f t="shared" si="31"/>
        <v>1000</v>
      </c>
      <c r="N126" s="14">
        <v>1002</v>
      </c>
      <c r="O126" s="54" t="s">
        <v>701</v>
      </c>
      <c r="P126" s="15" t="s">
        <v>863</v>
      </c>
      <c r="Q126" s="15">
        <f>P126*N126</f>
        <v>254.50800000000001</v>
      </c>
      <c r="R126" s="14"/>
    </row>
    <row r="127" spans="1:18">
      <c r="A127" s="1"/>
      <c r="B127" s="17">
        <f t="shared" si="0"/>
        <v>120</v>
      </c>
      <c r="C127" s="23" t="s">
        <v>26</v>
      </c>
      <c r="D127" s="20" t="s">
        <v>146</v>
      </c>
      <c r="E127" s="20" t="s">
        <v>269</v>
      </c>
      <c r="F127" s="20" t="s">
        <v>303</v>
      </c>
      <c r="G127" s="20" t="s">
        <v>425</v>
      </c>
      <c r="H127" s="20" t="s">
        <v>464</v>
      </c>
      <c r="I127" s="47" t="s">
        <v>672</v>
      </c>
      <c r="J127" s="20" t="s">
        <v>579</v>
      </c>
      <c r="K127" s="14" t="s">
        <v>672</v>
      </c>
      <c r="L127" s="20">
        <v>1</v>
      </c>
      <c r="M127" s="14">
        <f t="shared" si="31"/>
        <v>1000</v>
      </c>
      <c r="N127" s="20">
        <v>1005</v>
      </c>
      <c r="O127" s="54" t="s">
        <v>701</v>
      </c>
      <c r="P127" s="21" t="s">
        <v>864</v>
      </c>
      <c r="Q127" s="21">
        <f t="shared" ref="Q127" si="56">P127*N127</f>
        <v>86.631</v>
      </c>
      <c r="R127" s="20"/>
    </row>
    <row r="128" spans="1:18" ht="24">
      <c r="A128" s="1"/>
      <c r="B128" s="16">
        <f>ROW(B128) - ROW($B$7)</f>
        <v>121</v>
      </c>
      <c r="C128" s="22" t="s">
        <v>26</v>
      </c>
      <c r="D128" s="14" t="s">
        <v>147</v>
      </c>
      <c r="E128" s="14" t="s">
        <v>270</v>
      </c>
      <c r="F128" s="14" t="s">
        <v>318</v>
      </c>
      <c r="G128" s="14" t="s">
        <v>426</v>
      </c>
      <c r="H128" s="14" t="s">
        <v>463</v>
      </c>
      <c r="I128" s="47" t="s">
        <v>672</v>
      </c>
      <c r="J128" s="14" t="s">
        <v>692</v>
      </c>
      <c r="K128" s="14" t="s">
        <v>672</v>
      </c>
      <c r="L128" s="14">
        <v>1</v>
      </c>
      <c r="M128" s="14">
        <f t="shared" si="31"/>
        <v>1000</v>
      </c>
      <c r="N128" s="14">
        <v>1002</v>
      </c>
      <c r="O128" s="54" t="s">
        <v>701</v>
      </c>
      <c r="P128" s="15" t="s">
        <v>865</v>
      </c>
      <c r="Q128" s="15">
        <f>P128*N128</f>
        <v>1188.0714</v>
      </c>
      <c r="R128" s="14"/>
    </row>
    <row r="129" spans="1:18" ht="24">
      <c r="A129" s="1"/>
      <c r="B129" s="17">
        <f t="shared" si="0"/>
        <v>122</v>
      </c>
      <c r="C129" s="23" t="s">
        <v>26</v>
      </c>
      <c r="D129" s="20" t="s">
        <v>148</v>
      </c>
      <c r="E129" s="20" t="s">
        <v>271</v>
      </c>
      <c r="F129" s="20" t="s">
        <v>319</v>
      </c>
      <c r="G129" s="20" t="s">
        <v>427</v>
      </c>
      <c r="H129" s="20" t="s">
        <v>465</v>
      </c>
      <c r="I129" s="47" t="s">
        <v>672</v>
      </c>
      <c r="J129" s="20" t="s">
        <v>580</v>
      </c>
      <c r="K129" s="14" t="s">
        <v>672</v>
      </c>
      <c r="L129" s="20">
        <v>1</v>
      </c>
      <c r="M129" s="14">
        <f t="shared" si="31"/>
        <v>1000</v>
      </c>
      <c r="N129" s="20">
        <v>1002</v>
      </c>
      <c r="O129" s="54" t="s">
        <v>701</v>
      </c>
      <c r="P129" s="21" t="s">
        <v>866</v>
      </c>
      <c r="Q129" s="21">
        <f t="shared" ref="Q129" si="57">P129*N129</f>
        <v>205.41</v>
      </c>
      <c r="R129" s="20"/>
    </row>
    <row r="130" spans="1:18" ht="24">
      <c r="A130" s="1"/>
      <c r="B130" s="16">
        <f>ROW(B130) - ROW($B$7)</f>
        <v>123</v>
      </c>
      <c r="C130" s="22" t="s">
        <v>26</v>
      </c>
      <c r="D130" s="14" t="s">
        <v>149</v>
      </c>
      <c r="E130" s="14" t="s">
        <v>272</v>
      </c>
      <c r="F130" s="14" t="s">
        <v>320</v>
      </c>
      <c r="G130" s="14" t="s">
        <v>428</v>
      </c>
      <c r="H130" s="14" t="s">
        <v>463</v>
      </c>
      <c r="I130" s="47" t="s">
        <v>672</v>
      </c>
      <c r="J130" s="14" t="s">
        <v>581</v>
      </c>
      <c r="K130" s="14" t="s">
        <v>672</v>
      </c>
      <c r="L130" s="14">
        <v>1</v>
      </c>
      <c r="M130" s="14">
        <f t="shared" si="31"/>
        <v>1000</v>
      </c>
      <c r="N130" s="14">
        <v>1002</v>
      </c>
      <c r="O130" s="54" t="s">
        <v>701</v>
      </c>
      <c r="P130" s="15" t="s">
        <v>867</v>
      </c>
      <c r="Q130" s="15">
        <f>P130*N130</f>
        <v>473.94599999999997</v>
      </c>
      <c r="R130" s="14"/>
    </row>
    <row r="131" spans="1:18" ht="24">
      <c r="A131" s="1"/>
      <c r="B131" s="17">
        <f t="shared" si="0"/>
        <v>124</v>
      </c>
      <c r="C131" s="23" t="s">
        <v>26</v>
      </c>
      <c r="D131" s="20" t="s">
        <v>150</v>
      </c>
      <c r="E131" s="20" t="s">
        <v>273</v>
      </c>
      <c r="F131" s="20" t="s">
        <v>321</v>
      </c>
      <c r="G131" s="20" t="s">
        <v>429</v>
      </c>
      <c r="H131" s="20" t="s">
        <v>463</v>
      </c>
      <c r="I131" s="47" t="s">
        <v>672</v>
      </c>
      <c r="J131" s="20" t="s">
        <v>582</v>
      </c>
      <c r="K131" s="14" t="s">
        <v>672</v>
      </c>
      <c r="L131" s="20">
        <v>1</v>
      </c>
      <c r="M131" s="14">
        <f t="shared" si="31"/>
        <v>1000</v>
      </c>
      <c r="N131" s="20">
        <v>1002</v>
      </c>
      <c r="O131" s="54" t="s">
        <v>701</v>
      </c>
      <c r="P131" s="21" t="s">
        <v>868</v>
      </c>
      <c r="Q131" s="21">
        <f t="shared" ref="Q131" si="58">P131*N131</f>
        <v>2401.0925999999999</v>
      </c>
      <c r="R131" s="20"/>
    </row>
    <row r="132" spans="1:18" ht="36">
      <c r="A132" s="1"/>
      <c r="B132" s="16">
        <f>ROW(B132) - ROW($B$7)</f>
        <v>125</v>
      </c>
      <c r="C132" s="22" t="s">
        <v>26</v>
      </c>
      <c r="D132" s="14" t="s">
        <v>151</v>
      </c>
      <c r="E132" s="14" t="s">
        <v>274</v>
      </c>
      <c r="F132" s="20" t="s">
        <v>674</v>
      </c>
      <c r="G132" s="14" t="s">
        <v>322</v>
      </c>
      <c r="H132" s="14" t="s">
        <v>466</v>
      </c>
      <c r="I132" s="47" t="s">
        <v>672</v>
      </c>
      <c r="J132" s="14" t="s">
        <v>672</v>
      </c>
      <c r="K132" s="14" t="s">
        <v>672</v>
      </c>
      <c r="L132" s="14">
        <v>1</v>
      </c>
      <c r="M132" s="14">
        <f t="shared" si="31"/>
        <v>1000</v>
      </c>
      <c r="N132" s="14">
        <v>1001</v>
      </c>
      <c r="O132" s="54" t="s">
        <v>792</v>
      </c>
      <c r="P132" s="15">
        <v>27.84</v>
      </c>
      <c r="Q132" s="15">
        <f>P132*N132</f>
        <v>27867.84</v>
      </c>
      <c r="R132" s="14"/>
    </row>
    <row r="133" spans="1:18" ht="24">
      <c r="A133" s="1"/>
      <c r="B133" s="17">
        <f t="shared" si="0"/>
        <v>126</v>
      </c>
      <c r="C133" s="23" t="s">
        <v>26</v>
      </c>
      <c r="D133" s="20" t="s">
        <v>152</v>
      </c>
      <c r="E133" s="20" t="s">
        <v>275</v>
      </c>
      <c r="F133" s="20" t="s">
        <v>323</v>
      </c>
      <c r="G133" s="20" t="s">
        <v>430</v>
      </c>
      <c r="H133" s="20" t="s">
        <v>463</v>
      </c>
      <c r="I133" s="47" t="s">
        <v>672</v>
      </c>
      <c r="J133" s="20" t="s">
        <v>583</v>
      </c>
      <c r="K133" s="14" t="s">
        <v>672</v>
      </c>
      <c r="L133" s="20">
        <v>1</v>
      </c>
      <c r="M133" s="14">
        <f t="shared" si="31"/>
        <v>1000</v>
      </c>
      <c r="N133" s="20">
        <v>1005</v>
      </c>
      <c r="O133" s="54" t="s">
        <v>701</v>
      </c>
      <c r="P133" s="21" t="s">
        <v>872</v>
      </c>
      <c r="Q133" s="21">
        <f t="shared" ref="Q133:Q134" si="59">P133*N133</f>
        <v>126.63</v>
      </c>
      <c r="R133" s="20"/>
    </row>
    <row r="134" spans="1:18" ht="36">
      <c r="A134" s="1"/>
      <c r="B134" s="17">
        <f t="shared" si="0"/>
        <v>127</v>
      </c>
      <c r="C134" s="23" t="s">
        <v>27</v>
      </c>
      <c r="D134" s="20" t="s">
        <v>153</v>
      </c>
      <c r="E134" s="20" t="s">
        <v>276</v>
      </c>
      <c r="F134" s="20" t="s">
        <v>324</v>
      </c>
      <c r="G134" s="20" t="s">
        <v>431</v>
      </c>
      <c r="H134" s="20" t="s">
        <v>467</v>
      </c>
      <c r="I134" s="47" t="s">
        <v>672</v>
      </c>
      <c r="J134" s="20" t="s">
        <v>584</v>
      </c>
      <c r="K134" s="20" t="s">
        <v>654</v>
      </c>
      <c r="L134" s="20">
        <v>1</v>
      </c>
      <c r="M134" s="14">
        <f t="shared" si="31"/>
        <v>1000</v>
      </c>
      <c r="N134" s="20">
        <v>1005</v>
      </c>
      <c r="O134" s="54" t="s">
        <v>701</v>
      </c>
      <c r="P134" s="21" t="s">
        <v>873</v>
      </c>
      <c r="Q134" s="21">
        <f t="shared" si="59"/>
        <v>91.957499999999996</v>
      </c>
      <c r="R134" s="20"/>
    </row>
    <row r="135" spans="1:18">
      <c r="A135" s="1"/>
      <c r="B135" s="16">
        <f>ROW(B135) - ROW($B$7)</f>
        <v>128</v>
      </c>
      <c r="C135" s="22" t="s">
        <v>28</v>
      </c>
      <c r="D135" s="14" t="s">
        <v>154</v>
      </c>
      <c r="E135" s="14" t="s">
        <v>277</v>
      </c>
      <c r="F135" s="14" t="s">
        <v>325</v>
      </c>
      <c r="G135" s="14" t="s">
        <v>432</v>
      </c>
      <c r="H135" s="14" t="s">
        <v>468</v>
      </c>
      <c r="I135" s="47" t="s">
        <v>672</v>
      </c>
      <c r="J135" s="14" t="s">
        <v>585</v>
      </c>
      <c r="K135" s="14" t="s">
        <v>655</v>
      </c>
      <c r="L135" s="14">
        <v>2</v>
      </c>
      <c r="M135" s="14">
        <f t="shared" si="31"/>
        <v>2000</v>
      </c>
      <c r="N135" s="14">
        <v>2005</v>
      </c>
      <c r="O135" s="54" t="s">
        <v>701</v>
      </c>
      <c r="P135" s="15" t="s">
        <v>874</v>
      </c>
      <c r="Q135" s="15">
        <f>P135*N135</f>
        <v>251.22649999999999</v>
      </c>
      <c r="R135" s="14"/>
    </row>
    <row r="136" spans="1:18" ht="36.75" thickBot="1">
      <c r="A136" s="1"/>
      <c r="B136" s="17">
        <f t="shared" si="0"/>
        <v>129</v>
      </c>
      <c r="C136" s="23" t="s">
        <v>29</v>
      </c>
      <c r="D136" s="20" t="s">
        <v>155</v>
      </c>
      <c r="E136" s="20" t="s">
        <v>278</v>
      </c>
      <c r="F136" s="20" t="s">
        <v>326</v>
      </c>
      <c r="G136" s="20" t="s">
        <v>433</v>
      </c>
      <c r="H136" s="20" t="s">
        <v>469</v>
      </c>
      <c r="I136" s="47" t="s">
        <v>672</v>
      </c>
      <c r="J136" s="20" t="s">
        <v>586</v>
      </c>
      <c r="K136" s="20" t="s">
        <v>654</v>
      </c>
      <c r="L136" s="20">
        <v>1</v>
      </c>
      <c r="M136" s="14">
        <f t="shared" si="31"/>
        <v>1000</v>
      </c>
      <c r="N136" s="20">
        <v>1005</v>
      </c>
      <c r="O136" s="54" t="s">
        <v>701</v>
      </c>
      <c r="P136" s="21" t="s">
        <v>875</v>
      </c>
      <c r="Q136" s="21">
        <f t="shared" ref="Q136:Q140" si="60">P136*N136</f>
        <v>155.67450000000002</v>
      </c>
      <c r="R136" s="20"/>
    </row>
    <row r="137" spans="1:18" ht="24.75" thickBot="1">
      <c r="A137" s="1"/>
      <c r="B137" s="46">
        <f>ROW(B137) - ROW($B$2)</f>
        <v>135</v>
      </c>
      <c r="C137" s="22" t="s">
        <v>671</v>
      </c>
      <c r="D137" s="14" t="s">
        <v>672</v>
      </c>
      <c r="E137" s="47" t="s">
        <v>673</v>
      </c>
      <c r="F137" s="14" t="s">
        <v>674</v>
      </c>
      <c r="G137" s="47" t="s">
        <v>675</v>
      </c>
      <c r="H137" s="14" t="s">
        <v>676</v>
      </c>
      <c r="I137" s="47" t="s">
        <v>672</v>
      </c>
      <c r="J137" s="20" t="s">
        <v>693</v>
      </c>
      <c r="K137" s="47" t="s">
        <v>672</v>
      </c>
      <c r="L137" s="14">
        <v>2</v>
      </c>
      <c r="M137" s="14">
        <f t="shared" ref="M137:M140" si="61">L137*1000</f>
        <v>2000</v>
      </c>
      <c r="N137" s="20">
        <v>2002</v>
      </c>
      <c r="O137" s="54" t="s">
        <v>701</v>
      </c>
      <c r="P137" s="21" t="s">
        <v>876</v>
      </c>
      <c r="Q137" s="21">
        <f t="shared" si="60"/>
        <v>853.45260000000007</v>
      </c>
      <c r="R137" s="20"/>
    </row>
    <row r="138" spans="1:18" ht="90" thickBot="1">
      <c r="A138" s="1"/>
      <c r="B138" s="46">
        <f>ROW(B138) - ROW($B$2)</f>
        <v>136</v>
      </c>
      <c r="C138" s="22" t="s">
        <v>671</v>
      </c>
      <c r="D138" s="14" t="s">
        <v>672</v>
      </c>
      <c r="E138" s="47" t="s">
        <v>677</v>
      </c>
      <c r="F138" s="20" t="s">
        <v>674</v>
      </c>
      <c r="G138" s="47" t="s">
        <v>678</v>
      </c>
      <c r="H138" s="14" t="s">
        <v>679</v>
      </c>
      <c r="I138" s="47" t="s">
        <v>672</v>
      </c>
      <c r="J138" s="20" t="s">
        <v>694</v>
      </c>
      <c r="K138" s="47"/>
      <c r="L138" s="14">
        <v>1</v>
      </c>
      <c r="M138" s="14">
        <f t="shared" si="61"/>
        <v>1000</v>
      </c>
      <c r="N138" s="20">
        <v>1001</v>
      </c>
      <c r="O138" s="54" t="s">
        <v>701</v>
      </c>
      <c r="P138" s="21" t="s">
        <v>780</v>
      </c>
      <c r="Q138" s="21">
        <f t="shared" si="60"/>
        <v>5639.634</v>
      </c>
      <c r="R138" s="49" t="s">
        <v>686</v>
      </c>
    </row>
    <row r="139" spans="1:18" ht="36.75" thickBot="1">
      <c r="A139" s="1"/>
      <c r="B139" s="46">
        <f t="shared" ref="B139:B140" si="62">ROW(B139) - ROW($B$2)</f>
        <v>137</v>
      </c>
      <c r="C139" s="22" t="s">
        <v>671</v>
      </c>
      <c r="D139" s="14" t="s">
        <v>672</v>
      </c>
      <c r="E139" s="48" t="s">
        <v>680</v>
      </c>
      <c r="F139" s="20" t="s">
        <v>674</v>
      </c>
      <c r="G139" s="48" t="s">
        <v>681</v>
      </c>
      <c r="H139" s="20" t="s">
        <v>682</v>
      </c>
      <c r="I139" s="47" t="s">
        <v>672</v>
      </c>
      <c r="J139" s="20" t="s">
        <v>695</v>
      </c>
      <c r="K139" s="48"/>
      <c r="L139" s="20">
        <v>1</v>
      </c>
      <c r="M139" s="14">
        <f t="shared" si="61"/>
        <v>1000</v>
      </c>
      <c r="N139" s="20">
        <v>1005</v>
      </c>
      <c r="O139" s="54" t="s">
        <v>701</v>
      </c>
      <c r="P139" s="21" t="s">
        <v>877</v>
      </c>
      <c r="Q139" s="21">
        <f t="shared" si="60"/>
        <v>75.777000000000001</v>
      </c>
      <c r="R139" s="20"/>
    </row>
    <row r="140" spans="1:18" ht="24.75" thickBot="1">
      <c r="A140" s="1"/>
      <c r="B140" s="46">
        <f t="shared" si="62"/>
        <v>138</v>
      </c>
      <c r="C140" s="22" t="s">
        <v>671</v>
      </c>
      <c r="D140" s="14" t="s">
        <v>672</v>
      </c>
      <c r="E140" s="48" t="s">
        <v>683</v>
      </c>
      <c r="F140" s="20" t="s">
        <v>674</v>
      </c>
      <c r="G140" s="48" t="s">
        <v>684</v>
      </c>
      <c r="H140" s="20" t="s">
        <v>685</v>
      </c>
      <c r="I140" s="47" t="s">
        <v>672</v>
      </c>
      <c r="J140" s="20" t="s">
        <v>696</v>
      </c>
      <c r="K140" s="48"/>
      <c r="L140" s="20">
        <v>2</v>
      </c>
      <c r="M140" s="14">
        <f t="shared" si="61"/>
        <v>2000</v>
      </c>
      <c r="N140" s="20">
        <v>2002</v>
      </c>
      <c r="O140" s="54" t="s">
        <v>701</v>
      </c>
      <c r="P140" s="21" t="s">
        <v>878</v>
      </c>
      <c r="Q140" s="21">
        <f t="shared" si="60"/>
        <v>2088.8868000000002</v>
      </c>
      <c r="R140" s="20"/>
    </row>
    <row r="141" spans="1:18" ht="19.5" thickBot="1">
      <c r="A141" s="1"/>
      <c r="B141" s="10"/>
      <c r="C141" s="10"/>
      <c r="N141" s="43" t="s">
        <v>3</v>
      </c>
      <c r="O141" s="44"/>
      <c r="P141" s="44"/>
      <c r="Q141" s="18">
        <f>SUM(Q8:Q140)</f>
        <v>53965.850099999996</v>
      </c>
    </row>
    <row r="142" spans="1:18" ht="19.5" thickBot="1">
      <c r="A142" s="1"/>
      <c r="B142" s="10"/>
      <c r="C142" s="10"/>
      <c r="N142" s="43" t="s">
        <v>4</v>
      </c>
      <c r="O142" s="44"/>
      <c r="P142" s="44"/>
      <c r="Q142" s="19">
        <f>Q141/1000</f>
        <v>53.965850099999997</v>
      </c>
    </row>
  </sheetData>
  <mergeCells count="3">
    <mergeCell ref="K1:R1"/>
    <mergeCell ref="N141:P141"/>
    <mergeCell ref="N142:P142"/>
  </mergeCells>
  <hyperlinks>
    <hyperlink ref="O8" r:id="rId1"/>
    <hyperlink ref="O9" r:id="rId2"/>
    <hyperlink ref="O10" r:id="rId3"/>
    <hyperlink ref="O11" r:id="rId4"/>
    <hyperlink ref="O13" r:id="rId5"/>
    <hyperlink ref="O14" r:id="rId6"/>
    <hyperlink ref="O15" r:id="rId7"/>
    <hyperlink ref="O16" r:id="rId8"/>
    <hyperlink ref="O17" r:id="rId9"/>
    <hyperlink ref="O18" r:id="rId10"/>
    <hyperlink ref="O19" r:id="rId11"/>
    <hyperlink ref="O20" r:id="rId12"/>
    <hyperlink ref="O21" r:id="rId13"/>
    <hyperlink ref="O22" r:id="rId14"/>
    <hyperlink ref="O23" r:id="rId15"/>
    <hyperlink ref="O24" r:id="rId16"/>
    <hyperlink ref="O25" r:id="rId17"/>
    <hyperlink ref="O26" r:id="rId18"/>
    <hyperlink ref="O27" r:id="rId19"/>
    <hyperlink ref="O28" r:id="rId20"/>
    <hyperlink ref="O29" r:id="rId21"/>
    <hyperlink ref="O30" r:id="rId22"/>
    <hyperlink ref="O31" r:id="rId23"/>
    <hyperlink ref="O32" r:id="rId24"/>
    <hyperlink ref="O33" r:id="rId25"/>
    <hyperlink ref="O34" r:id="rId26"/>
    <hyperlink ref="O35" r:id="rId27"/>
    <hyperlink ref="O36" r:id="rId28"/>
    <hyperlink ref="O37" r:id="rId29" display="LCSC"/>
    <hyperlink ref="O40" r:id="rId30"/>
    <hyperlink ref="O41" r:id="rId31" display="LCSC"/>
    <hyperlink ref="O42" r:id="rId32"/>
    <hyperlink ref="O44" r:id="rId33"/>
    <hyperlink ref="O45" r:id="rId34"/>
    <hyperlink ref="O46" r:id="rId35"/>
    <hyperlink ref="O47" r:id="rId36"/>
    <hyperlink ref="O48" r:id="rId37" display="LCSC"/>
    <hyperlink ref="O49" r:id="rId38"/>
    <hyperlink ref="O50" r:id="rId39"/>
    <hyperlink ref="O51" r:id="rId40"/>
    <hyperlink ref="O52" r:id="rId41"/>
    <hyperlink ref="O53" r:id="rId42"/>
    <hyperlink ref="O54" r:id="rId43" display="LCSC"/>
    <hyperlink ref="O56" r:id="rId44"/>
    <hyperlink ref="O57" r:id="rId45"/>
    <hyperlink ref="O58" r:id="rId46"/>
    <hyperlink ref="O59" r:id="rId47"/>
    <hyperlink ref="O60" r:id="rId48"/>
    <hyperlink ref="O61" r:id="rId49"/>
    <hyperlink ref="O62" r:id="rId50"/>
    <hyperlink ref="O63" r:id="rId51"/>
    <hyperlink ref="O64" r:id="rId52"/>
    <hyperlink ref="O65" r:id="rId53"/>
    <hyperlink ref="O66" r:id="rId54"/>
    <hyperlink ref="O67" r:id="rId55"/>
    <hyperlink ref="O68" r:id="rId56"/>
    <hyperlink ref="O69" r:id="rId57"/>
    <hyperlink ref="O70" r:id="rId58"/>
    <hyperlink ref="O71" r:id="rId59"/>
    <hyperlink ref="O72" r:id="rId60"/>
    <hyperlink ref="O73" r:id="rId61"/>
    <hyperlink ref="O74" r:id="rId62"/>
    <hyperlink ref="O75" r:id="rId63"/>
    <hyperlink ref="O76" r:id="rId64"/>
    <hyperlink ref="O77" r:id="rId65"/>
    <hyperlink ref="O78" r:id="rId66"/>
    <hyperlink ref="O79" r:id="rId67"/>
    <hyperlink ref="O80" r:id="rId68"/>
    <hyperlink ref="O81" r:id="rId69"/>
    <hyperlink ref="O82" r:id="rId70"/>
    <hyperlink ref="O83" r:id="rId71"/>
    <hyperlink ref="O84" r:id="rId72"/>
    <hyperlink ref="O85" r:id="rId73"/>
    <hyperlink ref="O86" r:id="rId74"/>
    <hyperlink ref="O87" r:id="rId75"/>
    <hyperlink ref="O88" r:id="rId76"/>
    <hyperlink ref="O89" r:id="rId77"/>
    <hyperlink ref="O90" r:id="rId78"/>
    <hyperlink ref="O91" r:id="rId79"/>
    <hyperlink ref="O92" r:id="rId80"/>
    <hyperlink ref="O93" r:id="rId81"/>
    <hyperlink ref="O94" r:id="rId82"/>
    <hyperlink ref="O95" r:id="rId83"/>
    <hyperlink ref="O96" r:id="rId84"/>
    <hyperlink ref="O97" r:id="rId85"/>
    <hyperlink ref="O98" r:id="rId86"/>
    <hyperlink ref="O99" r:id="rId87"/>
    <hyperlink ref="O100" r:id="rId88"/>
    <hyperlink ref="O101" r:id="rId89"/>
    <hyperlink ref="O102" r:id="rId90"/>
    <hyperlink ref="O103" r:id="rId91" display="LCSC"/>
    <hyperlink ref="O105" r:id="rId92"/>
    <hyperlink ref="O106" r:id="rId93"/>
    <hyperlink ref="O107" r:id="rId94"/>
    <hyperlink ref="O108" r:id="rId95" display="LCSC"/>
    <hyperlink ref="O110" r:id="rId96" display="LCSC"/>
    <hyperlink ref="O112" r:id="rId97"/>
    <hyperlink ref="O113" r:id="rId98" display="LCSC"/>
    <hyperlink ref="O114" r:id="rId99" display="url"/>
    <hyperlink ref="O116" r:id="rId100"/>
    <hyperlink ref="O117" r:id="rId101"/>
    <hyperlink ref="O118" r:id="rId102"/>
    <hyperlink ref="O119" r:id="rId103"/>
    <hyperlink ref="O120" r:id="rId104"/>
    <hyperlink ref="O121" r:id="rId105"/>
    <hyperlink ref="O122" r:id="rId106"/>
    <hyperlink ref="O123" r:id="rId107"/>
    <hyperlink ref="O124" r:id="rId108"/>
    <hyperlink ref="O125" r:id="rId109"/>
    <hyperlink ref="O126" r:id="rId110"/>
    <hyperlink ref="O127" r:id="rId111"/>
    <hyperlink ref="O128" r:id="rId112"/>
    <hyperlink ref="O129" r:id="rId113"/>
    <hyperlink ref="O130" r:id="rId114"/>
    <hyperlink ref="O43" r:id="rId115"/>
    <hyperlink ref="O133" r:id="rId116"/>
    <hyperlink ref="O134" r:id="rId117"/>
    <hyperlink ref="O135" r:id="rId118"/>
    <hyperlink ref="O136" r:id="rId119"/>
    <hyperlink ref="O137" r:id="rId120"/>
    <hyperlink ref="O138" r:id="rId121"/>
    <hyperlink ref="O139" r:id="rId122"/>
    <hyperlink ref="O140" r:id="rId123"/>
    <hyperlink ref="O131" r:id="rId124"/>
    <hyperlink ref="O12" r:id="rId125"/>
    <hyperlink ref="O55" r:id="rId126"/>
    <hyperlink ref="O104" r:id="rId127"/>
    <hyperlink ref="O109" r:id="rId128"/>
    <hyperlink ref="O111" r:id="rId129"/>
    <hyperlink ref="O132" r:id="rId130"/>
    <hyperlink ref="O39" r:id="rId131"/>
    <hyperlink ref="O115" r:id="rId1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Boards</vt:lpstr>
      <vt:lpstr>1000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2025-02-28T14:53:51Z</dcterms:modified>
</cp:coreProperties>
</file>