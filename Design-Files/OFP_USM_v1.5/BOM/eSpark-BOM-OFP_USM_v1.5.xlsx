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smartmeter-hw\Design-Files\OFP_USM_v1.5\BOM\"/>
    </mc:Choice>
  </mc:AlternateContent>
  <bookViews>
    <workbookView xWindow="28680" yWindow="-120" windowWidth="29040" windowHeight="15840"/>
  </bookViews>
  <sheets>
    <sheet name="10 Boards" sheetId="1" r:id="rId1"/>
    <sheet name="1000 Boards" sheetId="2" r:id="rId2"/>
  </sheets>
  <calcPr calcId="162913"/>
</workbook>
</file>

<file path=xl/calcChain.xml><?xml version="1.0" encoding="utf-8"?>
<calcChain xmlns="http://schemas.openxmlformats.org/spreadsheetml/2006/main">
  <c r="M9" i="2" l="1"/>
  <c r="M10" i="2"/>
  <c r="M11" i="2"/>
  <c r="M12" i="2"/>
  <c r="M13" i="2"/>
  <c r="M14" i="2"/>
  <c r="M15" i="2"/>
  <c r="M16" i="2"/>
  <c r="M17" i="2"/>
  <c r="M18" i="2"/>
  <c r="M19" i="2"/>
  <c r="M20" i="2"/>
  <c r="M21" i="2"/>
  <c r="M8" i="2"/>
  <c r="Q21" i="2" l="1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9" i="2"/>
  <c r="B9" i="2"/>
  <c r="Q8" i="2"/>
  <c r="B8" i="2"/>
  <c r="Q21" i="1"/>
  <c r="Q22" i="2" l="1"/>
  <c r="Q23" i="2" s="1"/>
  <c r="M21" i="1"/>
  <c r="B21" i="1"/>
  <c r="M9" i="1" l="1"/>
  <c r="M10" i="1"/>
  <c r="M11" i="1"/>
  <c r="M12" i="1"/>
  <c r="M13" i="1"/>
  <c r="M14" i="1"/>
  <c r="M15" i="1"/>
  <c r="M16" i="1"/>
  <c r="M17" i="1"/>
  <c r="M18" i="1"/>
  <c r="M19" i="1"/>
  <c r="M20" i="1"/>
  <c r="M8" i="1"/>
  <c r="Q20" i="1" l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B11" i="1"/>
  <c r="Q10" i="1"/>
  <c r="B10" i="1"/>
  <c r="Q22" i="1" l="1"/>
  <c r="Q23" i="1" s="1"/>
  <c r="Q9" i="1"/>
  <c r="Q8" i="1"/>
  <c r="B9" i="1"/>
  <c r="B8" i="1"/>
</calcChain>
</file>

<file path=xl/sharedStrings.xml><?xml version="1.0" encoding="utf-8"?>
<sst xmlns="http://schemas.openxmlformats.org/spreadsheetml/2006/main" count="362" uniqueCount="142">
  <si>
    <t>Component list</t>
  </si>
  <si>
    <t>Project:</t>
  </si>
  <si>
    <t>#</t>
  </si>
  <si>
    <t xml:space="preserve">Total Component Cost </t>
  </si>
  <si>
    <t>Single Board Cost</t>
  </si>
  <si>
    <t>Item Type</t>
  </si>
  <si>
    <t>Capacitors</t>
  </si>
  <si>
    <t>(TVS/ESD)</t>
  </si>
  <si>
    <t>TVS/ESD</t>
  </si>
  <si>
    <t>Resettable Fuses</t>
  </si>
  <si>
    <t>Memory Connectors</t>
  </si>
  <si>
    <t>FFC/FPC Cable</t>
  </si>
  <si>
    <t>USB Connector</t>
  </si>
  <si>
    <t>LED</t>
  </si>
  <si>
    <t>Resistor</t>
  </si>
  <si>
    <t>Designator</t>
  </si>
  <si>
    <t>C1</t>
  </si>
  <si>
    <t>C2, C3, C4</t>
  </si>
  <si>
    <t>D1</t>
  </si>
  <si>
    <t>D2, D3</t>
  </si>
  <si>
    <t>D4</t>
  </si>
  <si>
    <t>F1</t>
  </si>
  <si>
    <t>J1</t>
  </si>
  <si>
    <t>J2</t>
  </si>
  <si>
    <t>J3</t>
  </si>
  <si>
    <t>LED1</t>
  </si>
  <si>
    <t>R1</t>
  </si>
  <si>
    <t>R2, R3, R4</t>
  </si>
  <si>
    <t>R5</t>
  </si>
  <si>
    <t>Description</t>
  </si>
  <si>
    <t>CAP CER 0.1UF 50V X7R 0603</t>
  </si>
  <si>
    <t>CAP CER 33PF 100V C0G/NP0 0603</t>
  </si>
  <si>
    <t>4A 14V 40W 6V Unidirectional 5V SOT-563 ESD and Surge Protection (TVS/ESD) ROHS</t>
  </si>
  <si>
    <t>3A 35W 12V 5.6V Bidirectional 5V DFN1006 ESD and Surge Protection (TVS/ESD) ROHS</t>
  </si>
  <si>
    <t>60W 5.6V Bidirectional 5V DFN1006 ESD and Surge Protection (TVS/ESD) ROHS</t>
  </si>
  <si>
    <t>6V 350mA 100A 750mA 0805 Resettable Fuses ROHS</t>
  </si>
  <si>
    <t>CONN MICRO SIMM PUSH-PUSH R/A</t>
  </si>
  <si>
    <t>Flip type 10P Bottom Contact Horizontal attachment 0.5mm SMD,P=0.5mm FFC, FPC (Flat Flexible) Connector Assemblies ROHS</t>
  </si>
  <si>
    <t>1.5A USB 2.0 1 Horizontal attachment 4P Female -20℃~+70℃ Type-A SMD USB Connectors ROHS</t>
  </si>
  <si>
    <t>RED LED 0603 Light Emitting Diodes</t>
  </si>
  <si>
    <t>RES 15K OHM 1% 1/10W 0603</t>
  </si>
  <si>
    <t>RES 22 OHM 1% 1/10W 0603</t>
  </si>
  <si>
    <t>RES SMD 680 OHM 1% 1/10W 0603</t>
  </si>
  <si>
    <t>Footprint</t>
  </si>
  <si>
    <t>Cap-0603</t>
  </si>
  <si>
    <t>SOT-563</t>
  </si>
  <si>
    <t>DFN1006-2L (Bi-Directional)</t>
  </si>
  <si>
    <t>Fuse-0805</t>
  </si>
  <si>
    <t>HX0.5-10P XJH2.0 043</t>
  </si>
  <si>
    <t>USB-234-BCW</t>
  </si>
  <si>
    <t>LED-0603</t>
  </si>
  <si>
    <t>Res-0603</t>
  </si>
  <si>
    <t>Manufacturer Part Number</t>
  </si>
  <si>
    <t>GCJ188R71H104KA12D</t>
  </si>
  <si>
    <t>GCM1885C2A330JA16D</t>
  </si>
  <si>
    <t>ESDA6V8AV6</t>
  </si>
  <si>
    <t>ESD9B5VL</t>
  </si>
  <si>
    <t>SLESD5451X</t>
  </si>
  <si>
    <t>SMD0805B035TF</t>
  </si>
  <si>
    <t>503960-0696</t>
  </si>
  <si>
    <t>NCD0603R3</t>
  </si>
  <si>
    <t>RC0603FR-0715KL</t>
  </si>
  <si>
    <t>RC0603FR-0722RL</t>
  </si>
  <si>
    <t>RC0603FR-07680RL</t>
  </si>
  <si>
    <t>Manufacturer</t>
  </si>
  <si>
    <t>Murata</t>
  </si>
  <si>
    <t>TECH PUBLIC</t>
  </si>
  <si>
    <t>Slkor(SLKORMICRO Elec.)</t>
  </si>
  <si>
    <t>Brightking</t>
  </si>
  <si>
    <t>Molex</t>
  </si>
  <si>
    <t>hanxia</t>
  </si>
  <si>
    <t>XUNPU</t>
  </si>
  <si>
    <t>Foshan NationStar Optoelectronics</t>
  </si>
  <si>
    <t>Yageo</t>
  </si>
  <si>
    <t>LCSC Part Number</t>
  </si>
  <si>
    <t>C161115</t>
  </si>
  <si>
    <t>C126578</t>
  </si>
  <si>
    <t>C3021131</t>
  </si>
  <si>
    <t>C2827544</t>
  </si>
  <si>
    <t>C5185982</t>
  </si>
  <si>
    <t>C269103</t>
  </si>
  <si>
    <t>C132719</t>
  </si>
  <si>
    <t>C5691101</t>
  </si>
  <si>
    <t>C720528</t>
  </si>
  <si>
    <t>C3151730</t>
  </si>
  <si>
    <t>C114661</t>
  </si>
  <si>
    <t>C107701</t>
  </si>
  <si>
    <t>C112310</t>
  </si>
  <si>
    <t>0.1uF</t>
  </si>
  <si>
    <t>33pF</t>
  </si>
  <si>
    <t>15K</t>
  </si>
  <si>
    <t>22R</t>
  </si>
  <si>
    <t>680R</t>
  </si>
  <si>
    <t>Quantity</t>
  </si>
  <si>
    <t>Alternate Part Number</t>
  </si>
  <si>
    <t>Value</t>
  </si>
  <si>
    <t>Quantity (10 Boards)</t>
  </si>
  <si>
    <t>MOQ (10 Boards)</t>
  </si>
  <si>
    <t>Links</t>
  </si>
  <si>
    <t>Unit Cost (10 Boards)</t>
  </si>
  <si>
    <t>Total Cost (10 Boards)</t>
  </si>
  <si>
    <t>Remarks</t>
  </si>
  <si>
    <t>Bill of Materials for Project [OFP_USM_v1.5</t>
  </si>
  <si>
    <t>OFP_USM_v1.5</t>
  </si>
  <si>
    <t>-</t>
  </si>
  <si>
    <t>Peripheral</t>
  </si>
  <si>
    <t>0.3mm 10P 0.5mm 60mm P=0.5mm FFC Cable (Flexible Flat Cable) ROHS</t>
  </si>
  <si>
    <t>P=0.5mm</t>
  </si>
  <si>
    <t>AB03A0100000180A</t>
  </si>
  <si>
    <t>BZCN</t>
  </si>
  <si>
    <t>Custom</t>
  </si>
  <si>
    <t>C5110315</t>
  </si>
  <si>
    <t>50</t>
  </si>
  <si>
    <t>20</t>
  </si>
  <si>
    <t>100</t>
  </si>
  <si>
    <t>0.0233</t>
  </si>
  <si>
    <t>0.0179</t>
  </si>
  <si>
    <t>0.0917</t>
  </si>
  <si>
    <t>0.0368</t>
  </si>
  <si>
    <t>0.0140</t>
  </si>
  <si>
    <t>0.0178</t>
  </si>
  <si>
    <t>0.8583</t>
  </si>
  <si>
    <t>0.0804</t>
  </si>
  <si>
    <t>0.1058</t>
  </si>
  <si>
    <t>0.0248</t>
  </si>
  <si>
    <t>0.0012</t>
  </si>
  <si>
    <t>0.0495</t>
  </si>
  <si>
    <t>LCSC</t>
  </si>
  <si>
    <t>Quantity (1000 Boards)</t>
  </si>
  <si>
    <t>MOQ (1000 Boards)</t>
  </si>
  <si>
    <t>Unit Cost (1000 Boards)</t>
  </si>
  <si>
    <t>Total Cost (1000 Boards)</t>
  </si>
  <si>
    <t>0.0192</t>
  </si>
  <si>
    <t>0.0124</t>
  </si>
  <si>
    <t>0.0528</t>
  </si>
  <si>
    <t>0.0205</t>
  </si>
  <si>
    <t>0.0111</t>
  </si>
  <si>
    <t>0.5059</t>
  </si>
  <si>
    <t>0.0485</t>
  </si>
  <si>
    <t>0.0639</t>
  </si>
  <si>
    <t>0.0009</t>
  </si>
  <si>
    <t>0.0301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</si>
</sst>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center"/>
    </xf>
  </cellStyleXfs>
  <cellXfs count="5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ffc-fpc-flat-flexible-connector-assemblies_hanxia-hx0-5-10p-xjh2-0-043_C5691101.html" TargetMode="External"/><Relationship Id="rId13" Type="http://schemas.openxmlformats.org/officeDocument/2006/relationships/hyperlink" Target="https://www.lcsc.com/product-detail/chip-resistor-surface-mount_yageo-rc0603fr-07680rl_C112310.html" TargetMode="External"/><Relationship Id="rId3" Type="http://schemas.openxmlformats.org/officeDocument/2006/relationships/hyperlink" Target="https://www.lcsc.com/product-detail/esd-and-surge-protection-tvs-esd_tech-public-esda6v8av6_C3021131.html" TargetMode="External"/><Relationship Id="rId7" Type="http://schemas.openxmlformats.org/officeDocument/2006/relationships/hyperlink" Target="https://www.lcsc.com/product-detail/sim-card-connectors_molex-5039600696_C132719.html" TargetMode="External"/><Relationship Id="rId12" Type="http://schemas.openxmlformats.org/officeDocument/2006/relationships/hyperlink" Target="https://www.lcsc.com/product-detail/chip-resistor-surface-mount_yageo-rc0603fr-0722rl_C107701.html" TargetMode="External"/><Relationship Id="rId2" Type="http://schemas.openxmlformats.org/officeDocument/2006/relationships/hyperlink" Target="https://www.lcsc.com/product-detail/multilayer-ceramic-capacitors-mlcc-smd-smt_murata-electronics-gcm1885c2a330ja16d_C126578.html" TargetMode="External"/><Relationship Id="rId1" Type="http://schemas.openxmlformats.org/officeDocument/2006/relationships/hyperlink" Target="https://www.lcsc.com/product-detail/multilayer-ceramic-capacitors-mlcc-smd-smt_murata-electronics-gcj188r71h104ka12d_C161115.html" TargetMode="External"/><Relationship Id="rId6" Type="http://schemas.openxmlformats.org/officeDocument/2006/relationships/hyperlink" Target="https://www.lcsc.com/product-detail/resettable-fuses_brightking-smd0805b035tf_C269103.html" TargetMode="External"/><Relationship Id="rId11" Type="http://schemas.openxmlformats.org/officeDocument/2006/relationships/hyperlink" Target="https://www.lcsc.com/product-detail/chip-resistor-surface-mount_yageo-rc0603fr-0715kl_C114661.html" TargetMode="External"/><Relationship Id="rId5" Type="http://schemas.openxmlformats.org/officeDocument/2006/relationships/hyperlink" Target="https://www.lcsc.com/product-detail/esd-and-surge-protection-tvs-esd_slkor-slkormicro-elec-slesd5451x_C5185982.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lcsc.com/product-detail/led-indication-discrete_foshan-nationstar-optoelectronics-ncd0603r3_C3151730.html" TargetMode="External"/><Relationship Id="rId4" Type="http://schemas.openxmlformats.org/officeDocument/2006/relationships/hyperlink" Target="https://www.lcsc.com/product-detail/esd-and-surge-protection-tvs-esd_tech-public-esd9b5vl_C2827544.html" TargetMode="External"/><Relationship Id="rId9" Type="http://schemas.openxmlformats.org/officeDocument/2006/relationships/hyperlink" Target="https://www.lcsc.com/product-detail/usb-connectors_xunpu-usb-234-bcw_C720528.html" TargetMode="External"/><Relationship Id="rId14" Type="http://schemas.openxmlformats.org/officeDocument/2006/relationships/hyperlink" Target="https://www.lcsc.com/product-detail/ffc-cable-flexible-flat-cable_bzcn-ab03a0100000180a_C511031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ffc-fpc-flat-flexible-connector-assemblies_hanxia-hx0-5-10p-xjh2-0-043_C5691101.html" TargetMode="External"/><Relationship Id="rId13" Type="http://schemas.openxmlformats.org/officeDocument/2006/relationships/hyperlink" Target="https://www.lcsc.com/product-detail/chip-resistor-surface-mount_yageo-rc0603fr-07680rl_C112310.html" TargetMode="External"/><Relationship Id="rId3" Type="http://schemas.openxmlformats.org/officeDocument/2006/relationships/hyperlink" Target="https://www.lcsc.com/product-detail/esd-and-surge-protection-tvs-esd_tech-public-esda6v8av6_C3021131.html" TargetMode="External"/><Relationship Id="rId7" Type="http://schemas.openxmlformats.org/officeDocument/2006/relationships/hyperlink" Target="https://www.lcsc.com/product-detail/sim-card-connectors_molex-5039600696_C132719.html" TargetMode="External"/><Relationship Id="rId12" Type="http://schemas.openxmlformats.org/officeDocument/2006/relationships/hyperlink" Target="https://www.lcsc.com/product-detail/chip-resistor-surface-mount_yageo-rc0603fr-0722rl_C107701.html" TargetMode="External"/><Relationship Id="rId2" Type="http://schemas.openxmlformats.org/officeDocument/2006/relationships/hyperlink" Target="https://www.lcsc.com/product-detail/multilayer-ceramic-capacitors-mlcc-smd-smt_murata-electronics-gcm1885c2a330ja16d_C126578.html" TargetMode="External"/><Relationship Id="rId1" Type="http://schemas.openxmlformats.org/officeDocument/2006/relationships/hyperlink" Target="https://www.lcsc.com/product-detail/multilayer-ceramic-capacitors-mlcc-smd-smt_murata-electronics-gcj188r71h104ka12d_C161115.html" TargetMode="External"/><Relationship Id="rId6" Type="http://schemas.openxmlformats.org/officeDocument/2006/relationships/hyperlink" Target="https://www.lcsc.com/product-detail/resettable-fuses_brightking-smd0805b035tf_C269103.html" TargetMode="External"/><Relationship Id="rId11" Type="http://schemas.openxmlformats.org/officeDocument/2006/relationships/hyperlink" Target="https://www.lcsc.com/product-detail/chip-resistor-surface-mount_yageo-rc0603fr-0715kl_C114661.html" TargetMode="External"/><Relationship Id="rId5" Type="http://schemas.openxmlformats.org/officeDocument/2006/relationships/hyperlink" Target="https://www.lcsc.com/product-detail/esd-and-surge-protection-tvs-esd_slkor-slkormicro-elec-slesd5451x_C5185982.html" TargetMode="External"/><Relationship Id="rId10" Type="http://schemas.openxmlformats.org/officeDocument/2006/relationships/hyperlink" Target="https://www.lcsc.com/product-detail/led-indication-discrete_foshan-nationstar-optoelectronics-ncd0603r3_C3151730.html" TargetMode="External"/><Relationship Id="rId4" Type="http://schemas.openxmlformats.org/officeDocument/2006/relationships/hyperlink" Target="https://www.lcsc.com/product-detail/esd-and-surge-protection-tvs-esd_tech-public-esd9b5vl_C2827544.html" TargetMode="External"/><Relationship Id="rId9" Type="http://schemas.openxmlformats.org/officeDocument/2006/relationships/hyperlink" Target="https://www.lcsc.com/product-detail/usb-connectors_xunpu-usb-234-bcw_C720528.html" TargetMode="External"/><Relationship Id="rId14" Type="http://schemas.openxmlformats.org/officeDocument/2006/relationships/hyperlink" Target="https://www.lcsc.com/product-detail/ffc-cable-flexible-flat-cable_bzcn-ab03a0100000180a_C511031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35"/>
  <sheetViews>
    <sheetView tabSelected="1" topLeftCell="E1" workbookViewId="0">
      <selection activeCell="H23" sqref="H23"/>
    </sheetView>
  </sheetViews>
  <sheetFormatPr defaultRowHeight="1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5.42578125" bestFit="1" customWidth="1"/>
    <col min="16" max="16" width="19.7109375" bestFit="1" customWidth="1"/>
    <col min="17" max="17" width="20.28515625" bestFit="1" customWidth="1"/>
    <col min="18" max="18" width="16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2"/>
      <c r="L1" s="42"/>
      <c r="M1" s="42"/>
      <c r="N1" s="42"/>
      <c r="O1" s="42"/>
      <c r="P1" s="42"/>
      <c r="Q1" s="42"/>
      <c r="R1" s="42"/>
    </row>
    <row r="2" spans="1:18" ht="32.25" thickBot="1">
      <c r="A2" s="1"/>
      <c r="B2" s="7"/>
      <c r="C2" s="13"/>
      <c r="D2" s="4" t="s">
        <v>0</v>
      </c>
      <c r="E2" s="4"/>
      <c r="F2" s="40" t="s">
        <v>102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103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15</v>
      </c>
      <c r="E7" s="12" t="s">
        <v>29</v>
      </c>
      <c r="F7" s="12" t="s">
        <v>43</v>
      </c>
      <c r="G7" s="12" t="s">
        <v>52</v>
      </c>
      <c r="H7" s="12" t="s">
        <v>64</v>
      </c>
      <c r="I7" s="12" t="s">
        <v>94</v>
      </c>
      <c r="J7" s="12" t="s">
        <v>74</v>
      </c>
      <c r="K7" s="12" t="s">
        <v>95</v>
      </c>
      <c r="L7" s="12" t="s">
        <v>93</v>
      </c>
      <c r="M7" s="12" t="s">
        <v>96</v>
      </c>
      <c r="N7" s="12" t="s">
        <v>97</v>
      </c>
      <c r="O7" s="12" t="s">
        <v>98</v>
      </c>
      <c r="P7" s="12" t="s">
        <v>99</v>
      </c>
      <c r="Q7" s="12" t="s">
        <v>100</v>
      </c>
      <c r="R7" s="12" t="s">
        <v>101</v>
      </c>
    </row>
    <row r="8" spans="1:18">
      <c r="A8" s="1"/>
      <c r="B8" s="16">
        <f>ROW(B8) - ROW($B$7)</f>
        <v>1</v>
      </c>
      <c r="C8" s="22" t="s">
        <v>6</v>
      </c>
      <c r="D8" s="14" t="s">
        <v>16</v>
      </c>
      <c r="E8" s="14" t="s">
        <v>30</v>
      </c>
      <c r="F8" s="14" t="s">
        <v>44</v>
      </c>
      <c r="G8" s="14" t="s">
        <v>53</v>
      </c>
      <c r="H8" s="14" t="s">
        <v>65</v>
      </c>
      <c r="I8" s="14" t="s">
        <v>104</v>
      </c>
      <c r="J8" s="14" t="s">
        <v>75</v>
      </c>
      <c r="K8" s="45" t="s">
        <v>88</v>
      </c>
      <c r="L8" s="14">
        <v>1</v>
      </c>
      <c r="M8" s="14">
        <f>L8*10</f>
        <v>10</v>
      </c>
      <c r="N8" s="14" t="s">
        <v>112</v>
      </c>
      <c r="O8" s="47" t="s">
        <v>127</v>
      </c>
      <c r="P8" s="15" t="s">
        <v>115</v>
      </c>
      <c r="Q8" s="15">
        <f>P8*N8</f>
        <v>1.165</v>
      </c>
      <c r="R8" s="14"/>
    </row>
    <row r="9" spans="1:18">
      <c r="A9" s="1"/>
      <c r="B9" s="17">
        <f t="shared" ref="B9:B19" si="0">ROW(B9) - ROW($B$7)</f>
        <v>2</v>
      </c>
      <c r="C9" s="23" t="s">
        <v>6</v>
      </c>
      <c r="D9" s="20" t="s">
        <v>17</v>
      </c>
      <c r="E9" s="20" t="s">
        <v>31</v>
      </c>
      <c r="F9" s="20" t="s">
        <v>44</v>
      </c>
      <c r="G9" s="20" t="s">
        <v>54</v>
      </c>
      <c r="H9" s="20" t="s">
        <v>65</v>
      </c>
      <c r="I9" s="14" t="s">
        <v>104</v>
      </c>
      <c r="J9" s="20" t="s">
        <v>76</v>
      </c>
      <c r="K9" s="46" t="s">
        <v>89</v>
      </c>
      <c r="L9" s="20">
        <v>3</v>
      </c>
      <c r="M9" s="14">
        <f t="shared" ref="M9:M21" si="1">L9*10</f>
        <v>30</v>
      </c>
      <c r="N9" s="20" t="s">
        <v>112</v>
      </c>
      <c r="O9" s="47" t="s">
        <v>127</v>
      </c>
      <c r="P9" s="21" t="s">
        <v>116</v>
      </c>
      <c r="Q9" s="21">
        <f t="shared" ref="Q9" si="2">P9*N9</f>
        <v>0.89500000000000002</v>
      </c>
      <c r="R9" s="20"/>
    </row>
    <row r="10" spans="1:18" ht="36">
      <c r="A10" s="1"/>
      <c r="B10" s="16">
        <f>ROW(B10) - ROW($B$7)</f>
        <v>3</v>
      </c>
      <c r="C10" s="22" t="s">
        <v>7</v>
      </c>
      <c r="D10" s="14" t="s">
        <v>18</v>
      </c>
      <c r="E10" s="14" t="s">
        <v>32</v>
      </c>
      <c r="F10" s="14" t="s">
        <v>45</v>
      </c>
      <c r="G10" s="14" t="s">
        <v>55</v>
      </c>
      <c r="H10" s="14" t="s">
        <v>66</v>
      </c>
      <c r="I10" s="14" t="s">
        <v>104</v>
      </c>
      <c r="J10" s="14" t="s">
        <v>77</v>
      </c>
      <c r="K10" s="45" t="s">
        <v>104</v>
      </c>
      <c r="L10" s="14">
        <v>1</v>
      </c>
      <c r="M10" s="14">
        <f t="shared" si="1"/>
        <v>10</v>
      </c>
      <c r="N10" s="14">
        <v>15</v>
      </c>
      <c r="O10" s="47" t="s">
        <v>127</v>
      </c>
      <c r="P10" s="15" t="s">
        <v>117</v>
      </c>
      <c r="Q10" s="15">
        <f>P10*N10</f>
        <v>1.3755000000000002</v>
      </c>
      <c r="R10" s="14"/>
    </row>
    <row r="11" spans="1:18" ht="36">
      <c r="A11" s="1"/>
      <c r="B11" s="17">
        <f t="shared" si="0"/>
        <v>4</v>
      </c>
      <c r="C11" s="23" t="s">
        <v>7</v>
      </c>
      <c r="D11" s="20" t="s">
        <v>19</v>
      </c>
      <c r="E11" s="20" t="s">
        <v>33</v>
      </c>
      <c r="F11" s="20" t="s">
        <v>46</v>
      </c>
      <c r="G11" s="20" t="s">
        <v>56</v>
      </c>
      <c r="H11" s="20" t="s">
        <v>66</v>
      </c>
      <c r="I11" s="14" t="s">
        <v>104</v>
      </c>
      <c r="J11" s="20" t="s">
        <v>78</v>
      </c>
      <c r="K11" s="45" t="s">
        <v>104</v>
      </c>
      <c r="L11" s="20">
        <v>2</v>
      </c>
      <c r="M11" s="14">
        <f t="shared" si="1"/>
        <v>20</v>
      </c>
      <c r="N11" s="20">
        <v>40</v>
      </c>
      <c r="O11" s="47" t="s">
        <v>127</v>
      </c>
      <c r="P11" s="21" t="s">
        <v>118</v>
      </c>
      <c r="Q11" s="21">
        <f t="shared" ref="Q11" si="3">P11*N11</f>
        <v>1.472</v>
      </c>
      <c r="R11" s="20"/>
    </row>
    <row r="12" spans="1:18" ht="36">
      <c r="A12" s="1"/>
      <c r="B12" s="16">
        <f>ROW(B12) - ROW($B$7)</f>
        <v>5</v>
      </c>
      <c r="C12" s="22" t="s">
        <v>8</v>
      </c>
      <c r="D12" s="14" t="s">
        <v>20</v>
      </c>
      <c r="E12" s="14" t="s">
        <v>34</v>
      </c>
      <c r="F12" s="14" t="s">
        <v>46</v>
      </c>
      <c r="G12" s="14" t="s">
        <v>57</v>
      </c>
      <c r="H12" s="14" t="s">
        <v>67</v>
      </c>
      <c r="I12" s="14" t="s">
        <v>104</v>
      </c>
      <c r="J12" s="14" t="s">
        <v>79</v>
      </c>
      <c r="K12" s="45" t="s">
        <v>104</v>
      </c>
      <c r="L12" s="14">
        <v>1</v>
      </c>
      <c r="M12" s="14">
        <f t="shared" si="1"/>
        <v>10</v>
      </c>
      <c r="N12" s="14" t="s">
        <v>112</v>
      </c>
      <c r="O12" s="47" t="s">
        <v>127</v>
      </c>
      <c r="P12" s="15" t="s">
        <v>119</v>
      </c>
      <c r="Q12" s="15">
        <f>P12*N12</f>
        <v>0.70000000000000007</v>
      </c>
      <c r="R12" s="14"/>
    </row>
    <row r="13" spans="1:18" ht="24">
      <c r="A13" s="1"/>
      <c r="B13" s="17">
        <f t="shared" si="0"/>
        <v>6</v>
      </c>
      <c r="C13" s="23" t="s">
        <v>9</v>
      </c>
      <c r="D13" s="20" t="s">
        <v>21</v>
      </c>
      <c r="E13" s="20" t="s">
        <v>35</v>
      </c>
      <c r="F13" s="20" t="s">
        <v>47</v>
      </c>
      <c r="G13" s="20" t="s">
        <v>58</v>
      </c>
      <c r="H13" s="20" t="s">
        <v>68</v>
      </c>
      <c r="I13" s="14" t="s">
        <v>104</v>
      </c>
      <c r="J13" s="20" t="s">
        <v>80</v>
      </c>
      <c r="K13" s="45" t="s">
        <v>104</v>
      </c>
      <c r="L13" s="20">
        <v>1</v>
      </c>
      <c r="M13" s="14">
        <f t="shared" si="1"/>
        <v>10</v>
      </c>
      <c r="N13" s="20" t="s">
        <v>113</v>
      </c>
      <c r="O13" s="47" t="s">
        <v>127</v>
      </c>
      <c r="P13" s="21" t="s">
        <v>120</v>
      </c>
      <c r="Q13" s="21">
        <f t="shared" ref="Q13" si="4">P13*N13</f>
        <v>0.35599999999999998</v>
      </c>
      <c r="R13" s="20"/>
    </row>
    <row r="14" spans="1:18">
      <c r="A14" s="1"/>
      <c r="B14" s="16">
        <f>ROW(B14) - ROW($B$7)</f>
        <v>7</v>
      </c>
      <c r="C14" s="22" t="s">
        <v>10</v>
      </c>
      <c r="D14" s="14" t="s">
        <v>22</v>
      </c>
      <c r="E14" s="14" t="s">
        <v>36</v>
      </c>
      <c r="F14" s="20" t="s">
        <v>110</v>
      </c>
      <c r="G14" s="14" t="s">
        <v>59</v>
      </c>
      <c r="H14" s="14" t="s">
        <v>69</v>
      </c>
      <c r="I14" s="14" t="s">
        <v>104</v>
      </c>
      <c r="J14" s="14" t="s">
        <v>81</v>
      </c>
      <c r="K14" s="45" t="s">
        <v>104</v>
      </c>
      <c r="L14" s="14">
        <v>1</v>
      </c>
      <c r="M14" s="14">
        <f t="shared" si="1"/>
        <v>10</v>
      </c>
      <c r="N14" s="14">
        <v>11</v>
      </c>
      <c r="O14" s="47" t="s">
        <v>127</v>
      </c>
      <c r="P14" s="15" t="s">
        <v>121</v>
      </c>
      <c r="Q14" s="15">
        <f>P14*N14</f>
        <v>9.4413</v>
      </c>
      <c r="R14" s="14"/>
    </row>
    <row r="15" spans="1:18" ht="48">
      <c r="A15" s="1"/>
      <c r="B15" s="17">
        <f t="shared" si="0"/>
        <v>8</v>
      </c>
      <c r="C15" s="23" t="s">
        <v>11</v>
      </c>
      <c r="D15" s="20" t="s">
        <v>23</v>
      </c>
      <c r="E15" s="20" t="s">
        <v>37</v>
      </c>
      <c r="F15" s="20" t="s">
        <v>110</v>
      </c>
      <c r="G15" s="20" t="s">
        <v>48</v>
      </c>
      <c r="H15" s="20" t="s">
        <v>70</v>
      </c>
      <c r="I15" s="14" t="s">
        <v>104</v>
      </c>
      <c r="J15" s="20" t="s">
        <v>82</v>
      </c>
      <c r="K15" s="45" t="s">
        <v>104</v>
      </c>
      <c r="L15" s="20">
        <v>1</v>
      </c>
      <c r="M15" s="14">
        <f t="shared" si="1"/>
        <v>10</v>
      </c>
      <c r="N15" s="20">
        <v>15</v>
      </c>
      <c r="O15" s="47" t="s">
        <v>127</v>
      </c>
      <c r="P15" s="21" t="s">
        <v>122</v>
      </c>
      <c r="Q15" s="21">
        <f t="shared" ref="Q15" si="5">P15*N15</f>
        <v>1.206</v>
      </c>
      <c r="R15" s="20"/>
    </row>
    <row r="16" spans="1:18" ht="36">
      <c r="A16" s="1"/>
      <c r="B16" s="16">
        <f>ROW(B16) - ROW($B$7)</f>
        <v>9</v>
      </c>
      <c r="C16" s="22" t="s">
        <v>12</v>
      </c>
      <c r="D16" s="14" t="s">
        <v>24</v>
      </c>
      <c r="E16" s="14" t="s">
        <v>38</v>
      </c>
      <c r="F16" s="20" t="s">
        <v>110</v>
      </c>
      <c r="G16" s="14" t="s">
        <v>49</v>
      </c>
      <c r="H16" s="14" t="s">
        <v>71</v>
      </c>
      <c r="I16" s="14" t="s">
        <v>104</v>
      </c>
      <c r="J16" s="14" t="s">
        <v>83</v>
      </c>
      <c r="K16" s="45" t="s">
        <v>104</v>
      </c>
      <c r="L16" s="14">
        <v>1</v>
      </c>
      <c r="M16" s="14">
        <f t="shared" si="1"/>
        <v>10</v>
      </c>
      <c r="N16" s="14">
        <v>15</v>
      </c>
      <c r="O16" s="47" t="s">
        <v>127</v>
      </c>
      <c r="P16" s="15" t="s">
        <v>123</v>
      </c>
      <c r="Q16" s="15">
        <f>P16*N16</f>
        <v>1.5870000000000002</v>
      </c>
      <c r="R16" s="14"/>
    </row>
    <row r="17" spans="1:18" ht="24">
      <c r="A17" s="1"/>
      <c r="B17" s="17">
        <f t="shared" si="0"/>
        <v>10</v>
      </c>
      <c r="C17" s="23" t="s">
        <v>13</v>
      </c>
      <c r="D17" s="20" t="s">
        <v>25</v>
      </c>
      <c r="E17" s="20" t="s">
        <v>39</v>
      </c>
      <c r="F17" s="20" t="s">
        <v>50</v>
      </c>
      <c r="G17" s="20" t="s">
        <v>60</v>
      </c>
      <c r="H17" s="20" t="s">
        <v>72</v>
      </c>
      <c r="I17" s="14" t="s">
        <v>104</v>
      </c>
      <c r="J17" s="20" t="s">
        <v>84</v>
      </c>
      <c r="K17" s="45" t="s">
        <v>104</v>
      </c>
      <c r="L17" s="20">
        <v>1</v>
      </c>
      <c r="M17" s="14">
        <f t="shared" si="1"/>
        <v>10</v>
      </c>
      <c r="N17" s="20" t="s">
        <v>113</v>
      </c>
      <c r="O17" s="47" t="s">
        <v>127</v>
      </c>
      <c r="P17" s="21" t="s">
        <v>124</v>
      </c>
      <c r="Q17" s="21">
        <f t="shared" ref="Q17" si="6">P17*N17</f>
        <v>0.496</v>
      </c>
      <c r="R17" s="20"/>
    </row>
    <row r="18" spans="1:18">
      <c r="A18" s="1"/>
      <c r="B18" s="16">
        <f>ROW(B18) - ROW($B$7)</f>
        <v>11</v>
      </c>
      <c r="C18" s="22" t="s">
        <v>14</v>
      </c>
      <c r="D18" s="14" t="s">
        <v>26</v>
      </c>
      <c r="E18" s="14" t="s">
        <v>40</v>
      </c>
      <c r="F18" s="14" t="s">
        <v>51</v>
      </c>
      <c r="G18" s="14" t="s">
        <v>61</v>
      </c>
      <c r="H18" s="14" t="s">
        <v>73</v>
      </c>
      <c r="I18" s="14" t="s">
        <v>104</v>
      </c>
      <c r="J18" s="14" t="s">
        <v>85</v>
      </c>
      <c r="K18" s="45" t="s">
        <v>90</v>
      </c>
      <c r="L18" s="14">
        <v>1</v>
      </c>
      <c r="M18" s="14">
        <f t="shared" si="1"/>
        <v>10</v>
      </c>
      <c r="N18" s="14" t="s">
        <v>114</v>
      </c>
      <c r="O18" s="47" t="s">
        <v>127</v>
      </c>
      <c r="P18" s="15" t="s">
        <v>125</v>
      </c>
      <c r="Q18" s="15">
        <f>P18*N18</f>
        <v>0.12</v>
      </c>
      <c r="R18" s="14"/>
    </row>
    <row r="19" spans="1:18">
      <c r="A19" s="1"/>
      <c r="B19" s="17">
        <f t="shared" si="0"/>
        <v>12</v>
      </c>
      <c r="C19" s="23" t="s">
        <v>14</v>
      </c>
      <c r="D19" s="20" t="s">
        <v>27</v>
      </c>
      <c r="E19" s="20" t="s">
        <v>41</v>
      </c>
      <c r="F19" s="20" t="s">
        <v>51</v>
      </c>
      <c r="G19" s="20" t="s">
        <v>62</v>
      </c>
      <c r="H19" s="20" t="s">
        <v>73</v>
      </c>
      <c r="I19" s="14" t="s">
        <v>104</v>
      </c>
      <c r="J19" s="20" t="s">
        <v>86</v>
      </c>
      <c r="K19" s="46" t="s">
        <v>91</v>
      </c>
      <c r="L19" s="20">
        <v>3</v>
      </c>
      <c r="M19" s="14">
        <f t="shared" si="1"/>
        <v>30</v>
      </c>
      <c r="N19" s="20" t="s">
        <v>114</v>
      </c>
      <c r="O19" s="47" t="s">
        <v>127</v>
      </c>
      <c r="P19" s="21" t="s">
        <v>125</v>
      </c>
      <c r="Q19" s="21">
        <f t="shared" ref="Q19" si="7">P19*N19</f>
        <v>0.12</v>
      </c>
      <c r="R19" s="20"/>
    </row>
    <row r="20" spans="1:18">
      <c r="A20" s="1"/>
      <c r="B20" s="16">
        <f>ROW(B20) - ROW($B$7)</f>
        <v>13</v>
      </c>
      <c r="C20" s="22" t="s">
        <v>14</v>
      </c>
      <c r="D20" s="14" t="s">
        <v>28</v>
      </c>
      <c r="E20" s="14" t="s">
        <v>42</v>
      </c>
      <c r="F20" s="14" t="s">
        <v>51</v>
      </c>
      <c r="G20" s="14" t="s">
        <v>63</v>
      </c>
      <c r="H20" s="14" t="s">
        <v>73</v>
      </c>
      <c r="I20" s="14" t="s">
        <v>104</v>
      </c>
      <c r="J20" s="14" t="s">
        <v>87</v>
      </c>
      <c r="K20" s="45" t="s">
        <v>92</v>
      </c>
      <c r="L20" s="14">
        <v>1</v>
      </c>
      <c r="M20" s="14">
        <f t="shared" si="1"/>
        <v>10</v>
      </c>
      <c r="N20" s="14" t="s">
        <v>114</v>
      </c>
      <c r="O20" s="47" t="s">
        <v>127</v>
      </c>
      <c r="P20" s="15" t="s">
        <v>125</v>
      </c>
      <c r="Q20" s="15">
        <f>P20*N20</f>
        <v>0.12</v>
      </c>
      <c r="R20" s="14"/>
    </row>
    <row r="21" spans="1:18" ht="24.75" thickBot="1">
      <c r="A21" s="1"/>
      <c r="B21" s="16">
        <f>ROW(B21) - ROW($B$7)</f>
        <v>14</v>
      </c>
      <c r="C21" s="23" t="s">
        <v>105</v>
      </c>
      <c r="D21" s="20" t="s">
        <v>104</v>
      </c>
      <c r="E21" s="46" t="s">
        <v>106</v>
      </c>
      <c r="F21" s="20" t="s">
        <v>107</v>
      </c>
      <c r="G21" s="46" t="s">
        <v>108</v>
      </c>
      <c r="H21" s="20" t="s">
        <v>109</v>
      </c>
      <c r="I21" s="14" t="s">
        <v>104</v>
      </c>
      <c r="J21" s="14" t="s">
        <v>111</v>
      </c>
      <c r="K21" s="46" t="s">
        <v>104</v>
      </c>
      <c r="L21" s="14">
        <v>1</v>
      </c>
      <c r="M21" s="14">
        <f t="shared" si="1"/>
        <v>10</v>
      </c>
      <c r="N21" s="14">
        <v>20</v>
      </c>
      <c r="O21" s="47" t="s">
        <v>127</v>
      </c>
      <c r="P21" s="15" t="s">
        <v>126</v>
      </c>
      <c r="Q21" s="15">
        <f>P21*N21</f>
        <v>0.99</v>
      </c>
      <c r="R21" s="14"/>
    </row>
    <row r="22" spans="1:18" ht="19.5" thickBo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43" t="s">
        <v>3</v>
      </c>
      <c r="O22" s="44"/>
      <c r="P22" s="44"/>
      <c r="Q22" s="18">
        <f>SUM(Q8:Q21)</f>
        <v>20.043800000000001</v>
      </c>
      <c r="R22" s="1"/>
    </row>
    <row r="23" spans="1:18" ht="19.5" thickBo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43" t="s">
        <v>4</v>
      </c>
      <c r="O23" s="44"/>
      <c r="P23" s="44"/>
      <c r="Q23" s="19">
        <f>Q22/10</f>
        <v>2.0043800000000003</v>
      </c>
      <c r="R23" s="1"/>
    </row>
    <row r="35" spans="13:13">
      <c r="M35" s="38"/>
    </row>
  </sheetData>
  <mergeCells count="3">
    <mergeCell ref="K1:R1"/>
    <mergeCell ref="N22:P22"/>
    <mergeCell ref="N23:P23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5" r:id="rId8"/>
    <hyperlink ref="O16" r:id="rId9"/>
    <hyperlink ref="O17" r:id="rId10"/>
    <hyperlink ref="O18" r:id="rId11"/>
    <hyperlink ref="O19" r:id="rId12"/>
    <hyperlink ref="O20" r:id="rId13"/>
    <hyperlink ref="O21" r:id="rId14"/>
  </hyperlink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opLeftCell="D1" workbookViewId="0">
      <selection activeCell="Q23" sqref="Q23"/>
    </sheetView>
  </sheetViews>
  <sheetFormatPr defaultRowHeight="15"/>
  <cols>
    <col min="2" max="2" width="3" bestFit="1" customWidth="1"/>
    <col min="3" max="3" width="13.85546875" customWidth="1"/>
    <col min="4" max="4" width="31.140625" bestFit="1" customWidth="1"/>
    <col min="5" max="5" width="31.5703125" customWidth="1"/>
    <col min="6" max="6" width="12.28515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5.42578125" bestFit="1" customWidth="1"/>
    <col min="16" max="16" width="21.85546875" bestFit="1" customWidth="1"/>
    <col min="17" max="17" width="22.42578125" bestFit="1" customWidth="1"/>
    <col min="18" max="18" width="8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2"/>
      <c r="L1" s="42"/>
      <c r="M1" s="42"/>
      <c r="N1" s="42"/>
      <c r="O1" s="42"/>
      <c r="P1" s="42"/>
      <c r="Q1" s="42"/>
      <c r="R1" s="42"/>
    </row>
    <row r="2" spans="1:18" ht="32.25" thickBot="1">
      <c r="A2" s="1"/>
      <c r="B2" s="7"/>
      <c r="C2" s="13"/>
      <c r="D2" s="4" t="s">
        <v>0</v>
      </c>
      <c r="E2" s="4"/>
      <c r="F2" s="40" t="s">
        <v>102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103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15</v>
      </c>
      <c r="E7" s="12" t="s">
        <v>29</v>
      </c>
      <c r="F7" s="12" t="s">
        <v>43</v>
      </c>
      <c r="G7" s="12" t="s">
        <v>52</v>
      </c>
      <c r="H7" s="12" t="s">
        <v>64</v>
      </c>
      <c r="I7" s="12" t="s">
        <v>94</v>
      </c>
      <c r="J7" s="12" t="s">
        <v>74</v>
      </c>
      <c r="K7" s="12" t="s">
        <v>95</v>
      </c>
      <c r="L7" s="12" t="s">
        <v>93</v>
      </c>
      <c r="M7" s="12" t="s">
        <v>128</v>
      </c>
      <c r="N7" s="12" t="s">
        <v>129</v>
      </c>
      <c r="O7" s="12" t="s">
        <v>98</v>
      </c>
      <c r="P7" s="12" t="s">
        <v>130</v>
      </c>
      <c r="Q7" s="12" t="s">
        <v>131</v>
      </c>
      <c r="R7" s="12" t="s">
        <v>101</v>
      </c>
    </row>
    <row r="8" spans="1:18" s="49" customFormat="1">
      <c r="A8" s="48"/>
      <c r="B8" s="16">
        <f>ROW(B8) - ROW($B$7)</f>
        <v>1</v>
      </c>
      <c r="C8" s="22" t="s">
        <v>6</v>
      </c>
      <c r="D8" s="14" t="s">
        <v>16</v>
      </c>
      <c r="E8" s="14" t="s">
        <v>30</v>
      </c>
      <c r="F8" s="14" t="s">
        <v>44</v>
      </c>
      <c r="G8" s="14" t="s">
        <v>53</v>
      </c>
      <c r="H8" s="14" t="s">
        <v>65</v>
      </c>
      <c r="I8" s="14" t="s">
        <v>104</v>
      </c>
      <c r="J8" s="14" t="s">
        <v>75</v>
      </c>
      <c r="K8" s="45" t="s">
        <v>88</v>
      </c>
      <c r="L8" s="14">
        <v>1</v>
      </c>
      <c r="M8" s="14">
        <f>L8*1000</f>
        <v>1000</v>
      </c>
      <c r="N8" s="14">
        <v>1050</v>
      </c>
      <c r="O8" s="47" t="s">
        <v>127</v>
      </c>
      <c r="P8" s="15" t="s">
        <v>132</v>
      </c>
      <c r="Q8" s="15">
        <f>P8*N8</f>
        <v>20.159999999999997</v>
      </c>
      <c r="R8" s="14"/>
    </row>
    <row r="9" spans="1:18" s="49" customFormat="1">
      <c r="A9" s="48"/>
      <c r="B9" s="17">
        <f t="shared" ref="B9:B19" si="0">ROW(B9) - ROW($B$7)</f>
        <v>2</v>
      </c>
      <c r="C9" s="23" t="s">
        <v>6</v>
      </c>
      <c r="D9" s="20" t="s">
        <v>17</v>
      </c>
      <c r="E9" s="20" t="s">
        <v>31</v>
      </c>
      <c r="F9" s="20" t="s">
        <v>44</v>
      </c>
      <c r="G9" s="20" t="s">
        <v>54</v>
      </c>
      <c r="H9" s="20" t="s">
        <v>65</v>
      </c>
      <c r="I9" s="14" t="s">
        <v>104</v>
      </c>
      <c r="J9" s="20" t="s">
        <v>76</v>
      </c>
      <c r="K9" s="46" t="s">
        <v>89</v>
      </c>
      <c r="L9" s="20">
        <v>3</v>
      </c>
      <c r="M9" s="14">
        <f t="shared" ref="M9:M21" si="1">L9*1000</f>
        <v>3000</v>
      </c>
      <c r="N9" s="20">
        <v>3050</v>
      </c>
      <c r="O9" s="47" t="s">
        <v>127</v>
      </c>
      <c r="P9" s="21" t="s">
        <v>133</v>
      </c>
      <c r="Q9" s="21">
        <f t="shared" ref="Q9" si="2">P9*N9</f>
        <v>37.82</v>
      </c>
      <c r="R9" s="20"/>
    </row>
    <row r="10" spans="1:18" s="49" customFormat="1" ht="36">
      <c r="A10" s="48"/>
      <c r="B10" s="16">
        <f>ROW(B10) - ROW($B$7)</f>
        <v>3</v>
      </c>
      <c r="C10" s="22" t="s">
        <v>7</v>
      </c>
      <c r="D10" s="14" t="s">
        <v>18</v>
      </c>
      <c r="E10" s="14" t="s">
        <v>32</v>
      </c>
      <c r="F10" s="14" t="s">
        <v>45</v>
      </c>
      <c r="G10" s="14" t="s">
        <v>55</v>
      </c>
      <c r="H10" s="14" t="s">
        <v>66</v>
      </c>
      <c r="I10" s="14" t="s">
        <v>104</v>
      </c>
      <c r="J10" s="14" t="s">
        <v>77</v>
      </c>
      <c r="K10" s="45" t="s">
        <v>104</v>
      </c>
      <c r="L10" s="14">
        <v>1</v>
      </c>
      <c r="M10" s="14">
        <f t="shared" si="1"/>
        <v>1000</v>
      </c>
      <c r="N10" s="14">
        <v>1005</v>
      </c>
      <c r="O10" s="47" t="s">
        <v>127</v>
      </c>
      <c r="P10" s="15" t="s">
        <v>134</v>
      </c>
      <c r="Q10" s="15">
        <f>P10*N10</f>
        <v>53.064</v>
      </c>
      <c r="R10" s="14"/>
    </row>
    <row r="11" spans="1:18" s="49" customFormat="1" ht="36">
      <c r="A11" s="48"/>
      <c r="B11" s="17">
        <f t="shared" si="0"/>
        <v>4</v>
      </c>
      <c r="C11" s="23" t="s">
        <v>7</v>
      </c>
      <c r="D11" s="20" t="s">
        <v>19</v>
      </c>
      <c r="E11" s="20" t="s">
        <v>33</v>
      </c>
      <c r="F11" s="20" t="s">
        <v>46</v>
      </c>
      <c r="G11" s="20" t="s">
        <v>56</v>
      </c>
      <c r="H11" s="20" t="s">
        <v>66</v>
      </c>
      <c r="I11" s="14" t="s">
        <v>104</v>
      </c>
      <c r="J11" s="20" t="s">
        <v>78</v>
      </c>
      <c r="K11" s="45" t="s">
        <v>104</v>
      </c>
      <c r="L11" s="20">
        <v>2</v>
      </c>
      <c r="M11" s="14">
        <f t="shared" si="1"/>
        <v>2000</v>
      </c>
      <c r="N11" s="20">
        <v>2020</v>
      </c>
      <c r="O11" s="47" t="s">
        <v>127</v>
      </c>
      <c r="P11" s="21" t="s">
        <v>135</v>
      </c>
      <c r="Q11" s="21">
        <f t="shared" ref="Q11" si="3">P11*N11</f>
        <v>41.410000000000004</v>
      </c>
      <c r="R11" s="20"/>
    </row>
    <row r="12" spans="1:18" s="49" customFormat="1" ht="36">
      <c r="A12" s="48"/>
      <c r="B12" s="16">
        <f>ROW(B12) - ROW($B$7)</f>
        <v>5</v>
      </c>
      <c r="C12" s="22" t="s">
        <v>8</v>
      </c>
      <c r="D12" s="14" t="s">
        <v>20</v>
      </c>
      <c r="E12" s="14" t="s">
        <v>34</v>
      </c>
      <c r="F12" s="14" t="s">
        <v>46</v>
      </c>
      <c r="G12" s="14" t="s">
        <v>57</v>
      </c>
      <c r="H12" s="14" t="s">
        <v>67</v>
      </c>
      <c r="I12" s="14" t="s">
        <v>104</v>
      </c>
      <c r="J12" s="14" t="s">
        <v>79</v>
      </c>
      <c r="K12" s="45" t="s">
        <v>104</v>
      </c>
      <c r="L12" s="14">
        <v>1</v>
      </c>
      <c r="M12" s="14">
        <f t="shared" si="1"/>
        <v>1000</v>
      </c>
      <c r="N12" s="14">
        <v>1050</v>
      </c>
      <c r="O12" s="47" t="s">
        <v>127</v>
      </c>
      <c r="P12" s="15" t="s">
        <v>136</v>
      </c>
      <c r="Q12" s="15">
        <f>P12*N12</f>
        <v>11.655000000000001</v>
      </c>
      <c r="R12" s="14"/>
    </row>
    <row r="13" spans="1:18" s="49" customFormat="1" ht="25.5">
      <c r="A13" s="48"/>
      <c r="B13" s="17">
        <f t="shared" si="0"/>
        <v>6</v>
      </c>
      <c r="C13" s="23" t="s">
        <v>9</v>
      </c>
      <c r="D13" s="20" t="s">
        <v>21</v>
      </c>
      <c r="E13" s="20" t="s">
        <v>35</v>
      </c>
      <c r="F13" s="20" t="s">
        <v>47</v>
      </c>
      <c r="G13" s="20" t="s">
        <v>58</v>
      </c>
      <c r="H13" s="20" t="s">
        <v>68</v>
      </c>
      <c r="I13" s="14" t="s">
        <v>104</v>
      </c>
      <c r="J13" s="20" t="s">
        <v>80</v>
      </c>
      <c r="K13" s="45" t="s">
        <v>104</v>
      </c>
      <c r="L13" s="20">
        <v>1</v>
      </c>
      <c r="M13" s="14">
        <f t="shared" si="1"/>
        <v>1000</v>
      </c>
      <c r="N13" s="20">
        <v>1020</v>
      </c>
      <c r="O13" s="47" t="s">
        <v>127</v>
      </c>
      <c r="P13" s="21" t="s">
        <v>136</v>
      </c>
      <c r="Q13" s="21">
        <f t="shared" ref="Q13" si="4">P13*N13</f>
        <v>11.322000000000001</v>
      </c>
      <c r="R13" s="20"/>
    </row>
    <row r="14" spans="1:18" s="49" customFormat="1" ht="25.5">
      <c r="A14" s="48"/>
      <c r="B14" s="16">
        <f>ROW(B14) - ROW($B$7)</f>
        <v>7</v>
      </c>
      <c r="C14" s="22" t="s">
        <v>10</v>
      </c>
      <c r="D14" s="14" t="s">
        <v>22</v>
      </c>
      <c r="E14" s="14" t="s">
        <v>36</v>
      </c>
      <c r="F14" s="20" t="s">
        <v>110</v>
      </c>
      <c r="G14" s="14" t="s">
        <v>59</v>
      </c>
      <c r="H14" s="14" t="s">
        <v>69</v>
      </c>
      <c r="I14" s="14" t="s">
        <v>104</v>
      </c>
      <c r="J14" s="14" t="s">
        <v>81</v>
      </c>
      <c r="K14" s="45" t="s">
        <v>104</v>
      </c>
      <c r="L14" s="14">
        <v>1</v>
      </c>
      <c r="M14" s="14">
        <f t="shared" si="1"/>
        <v>1000</v>
      </c>
      <c r="N14" s="14">
        <v>1002</v>
      </c>
      <c r="O14" s="47" t="s">
        <v>127</v>
      </c>
      <c r="P14" s="15" t="s">
        <v>137</v>
      </c>
      <c r="Q14" s="15">
        <f>P14*N14</f>
        <v>506.91180000000003</v>
      </c>
      <c r="R14" s="14"/>
    </row>
    <row r="15" spans="1:18" s="49" customFormat="1" ht="48">
      <c r="A15" s="48"/>
      <c r="B15" s="17">
        <f t="shared" si="0"/>
        <v>8</v>
      </c>
      <c r="C15" s="23" t="s">
        <v>11</v>
      </c>
      <c r="D15" s="20" t="s">
        <v>23</v>
      </c>
      <c r="E15" s="20" t="s">
        <v>37</v>
      </c>
      <c r="F15" s="20" t="s">
        <v>110</v>
      </c>
      <c r="G15" s="20" t="s">
        <v>48</v>
      </c>
      <c r="H15" s="20" t="s">
        <v>70</v>
      </c>
      <c r="I15" s="14" t="s">
        <v>104</v>
      </c>
      <c r="J15" s="20" t="s">
        <v>82</v>
      </c>
      <c r="K15" s="45" t="s">
        <v>104</v>
      </c>
      <c r="L15" s="20">
        <v>1</v>
      </c>
      <c r="M15" s="14">
        <f t="shared" si="1"/>
        <v>1000</v>
      </c>
      <c r="N15" s="20">
        <v>1005</v>
      </c>
      <c r="O15" s="47" t="s">
        <v>127</v>
      </c>
      <c r="P15" s="21" t="s">
        <v>138</v>
      </c>
      <c r="Q15" s="21">
        <f t="shared" ref="Q15" si="5">P15*N15</f>
        <v>48.7425</v>
      </c>
      <c r="R15" s="20"/>
    </row>
    <row r="16" spans="1:18" s="49" customFormat="1" ht="36">
      <c r="A16" s="48"/>
      <c r="B16" s="16">
        <f>ROW(B16) - ROW($B$7)</f>
        <v>9</v>
      </c>
      <c r="C16" s="22" t="s">
        <v>12</v>
      </c>
      <c r="D16" s="14" t="s">
        <v>24</v>
      </c>
      <c r="E16" s="14" t="s">
        <v>38</v>
      </c>
      <c r="F16" s="20" t="s">
        <v>110</v>
      </c>
      <c r="G16" s="14" t="s">
        <v>49</v>
      </c>
      <c r="H16" s="14" t="s">
        <v>71</v>
      </c>
      <c r="I16" s="14" t="s">
        <v>104</v>
      </c>
      <c r="J16" s="14" t="s">
        <v>83</v>
      </c>
      <c r="K16" s="45" t="s">
        <v>104</v>
      </c>
      <c r="L16" s="14">
        <v>1</v>
      </c>
      <c r="M16" s="14">
        <f t="shared" si="1"/>
        <v>1000</v>
      </c>
      <c r="N16" s="14">
        <v>1005</v>
      </c>
      <c r="O16" s="47" t="s">
        <v>127</v>
      </c>
      <c r="P16" s="15" t="s">
        <v>139</v>
      </c>
      <c r="Q16" s="15">
        <f>P16*N16</f>
        <v>64.219499999999996</v>
      </c>
      <c r="R16" s="14"/>
    </row>
    <row r="17" spans="1:18" s="49" customFormat="1" ht="48">
      <c r="A17" s="48"/>
      <c r="B17" s="17">
        <f t="shared" si="0"/>
        <v>10</v>
      </c>
      <c r="C17" s="23" t="s">
        <v>13</v>
      </c>
      <c r="D17" s="20" t="s">
        <v>25</v>
      </c>
      <c r="E17" s="20" t="s">
        <v>39</v>
      </c>
      <c r="F17" s="20" t="s">
        <v>50</v>
      </c>
      <c r="G17" s="20" t="s">
        <v>60</v>
      </c>
      <c r="H17" s="20" t="s">
        <v>72</v>
      </c>
      <c r="I17" s="14" t="s">
        <v>104</v>
      </c>
      <c r="J17" s="20" t="s">
        <v>84</v>
      </c>
      <c r="K17" s="45" t="s">
        <v>104</v>
      </c>
      <c r="L17" s="20">
        <v>1</v>
      </c>
      <c r="M17" s="14">
        <f t="shared" si="1"/>
        <v>1000</v>
      </c>
      <c r="N17" s="20">
        <v>1020</v>
      </c>
      <c r="O17" s="47" t="s">
        <v>127</v>
      </c>
      <c r="P17" s="21" t="s">
        <v>120</v>
      </c>
      <c r="Q17" s="21">
        <f t="shared" ref="Q17" si="6">P17*N17</f>
        <v>18.155999999999999</v>
      </c>
      <c r="R17" s="20"/>
    </row>
    <row r="18" spans="1:18" s="49" customFormat="1">
      <c r="A18" s="48"/>
      <c r="B18" s="16">
        <f>ROW(B18) - ROW($B$7)</f>
        <v>11</v>
      </c>
      <c r="C18" s="22" t="s">
        <v>14</v>
      </c>
      <c r="D18" s="14" t="s">
        <v>26</v>
      </c>
      <c r="E18" s="14" t="s">
        <v>40</v>
      </c>
      <c r="F18" s="14" t="s">
        <v>51</v>
      </c>
      <c r="G18" s="14" t="s">
        <v>61</v>
      </c>
      <c r="H18" s="14" t="s">
        <v>73</v>
      </c>
      <c r="I18" s="14" t="s">
        <v>104</v>
      </c>
      <c r="J18" s="14" t="s">
        <v>85</v>
      </c>
      <c r="K18" s="45" t="s">
        <v>90</v>
      </c>
      <c r="L18" s="14">
        <v>1</v>
      </c>
      <c r="M18" s="14">
        <f t="shared" si="1"/>
        <v>1000</v>
      </c>
      <c r="N18" s="14">
        <v>1100</v>
      </c>
      <c r="O18" s="47" t="s">
        <v>127</v>
      </c>
      <c r="P18" s="15" t="s">
        <v>140</v>
      </c>
      <c r="Q18" s="15">
        <f>P18*N18</f>
        <v>0.99</v>
      </c>
      <c r="R18" s="14"/>
    </row>
    <row r="19" spans="1:18" s="49" customFormat="1">
      <c r="A19" s="48"/>
      <c r="B19" s="17">
        <f t="shared" si="0"/>
        <v>12</v>
      </c>
      <c r="C19" s="23" t="s">
        <v>14</v>
      </c>
      <c r="D19" s="20" t="s">
        <v>27</v>
      </c>
      <c r="E19" s="20" t="s">
        <v>41</v>
      </c>
      <c r="F19" s="20" t="s">
        <v>51</v>
      </c>
      <c r="G19" s="20" t="s">
        <v>62</v>
      </c>
      <c r="H19" s="20" t="s">
        <v>73</v>
      </c>
      <c r="I19" s="14" t="s">
        <v>104</v>
      </c>
      <c r="J19" s="20" t="s">
        <v>86</v>
      </c>
      <c r="K19" s="46" t="s">
        <v>91</v>
      </c>
      <c r="L19" s="20">
        <v>3</v>
      </c>
      <c r="M19" s="14">
        <f t="shared" si="1"/>
        <v>3000</v>
      </c>
      <c r="N19" s="20">
        <v>3100</v>
      </c>
      <c r="O19" s="47" t="s">
        <v>127</v>
      </c>
      <c r="P19" s="21" t="s">
        <v>140</v>
      </c>
      <c r="Q19" s="21">
        <f t="shared" ref="Q19" si="7">P19*N19</f>
        <v>2.79</v>
      </c>
      <c r="R19" s="20"/>
    </row>
    <row r="20" spans="1:18" s="49" customFormat="1">
      <c r="A20" s="48"/>
      <c r="B20" s="16">
        <f>ROW(B20) - ROW($B$7)</f>
        <v>13</v>
      </c>
      <c r="C20" s="22" t="s">
        <v>14</v>
      </c>
      <c r="D20" s="14" t="s">
        <v>28</v>
      </c>
      <c r="E20" s="14" t="s">
        <v>42</v>
      </c>
      <c r="F20" s="14" t="s">
        <v>51</v>
      </c>
      <c r="G20" s="14" t="s">
        <v>63</v>
      </c>
      <c r="H20" s="14" t="s">
        <v>73</v>
      </c>
      <c r="I20" s="14" t="s">
        <v>104</v>
      </c>
      <c r="J20" s="14" t="s">
        <v>87</v>
      </c>
      <c r="K20" s="45" t="s">
        <v>92</v>
      </c>
      <c r="L20" s="14">
        <v>1</v>
      </c>
      <c r="M20" s="14">
        <f t="shared" si="1"/>
        <v>1000</v>
      </c>
      <c r="N20" s="14">
        <v>1100</v>
      </c>
      <c r="O20" s="47" t="s">
        <v>127</v>
      </c>
      <c r="P20" s="15" t="s">
        <v>140</v>
      </c>
      <c r="Q20" s="15">
        <f>P20*N20</f>
        <v>0.99</v>
      </c>
      <c r="R20" s="14"/>
    </row>
    <row r="21" spans="1:18" s="49" customFormat="1" ht="24.75" thickBot="1">
      <c r="A21" s="48"/>
      <c r="B21" s="16">
        <f>ROW(B21) - ROW($B$7)</f>
        <v>14</v>
      </c>
      <c r="C21" s="23" t="s">
        <v>105</v>
      </c>
      <c r="D21" s="20" t="s">
        <v>104</v>
      </c>
      <c r="E21" s="46" t="s">
        <v>106</v>
      </c>
      <c r="F21" s="20" t="s">
        <v>107</v>
      </c>
      <c r="G21" s="46" t="s">
        <v>108</v>
      </c>
      <c r="H21" s="20" t="s">
        <v>109</v>
      </c>
      <c r="I21" s="14" t="s">
        <v>104</v>
      </c>
      <c r="J21" s="14" t="s">
        <v>111</v>
      </c>
      <c r="K21" s="46" t="s">
        <v>104</v>
      </c>
      <c r="L21" s="14">
        <v>1</v>
      </c>
      <c r="M21" s="14">
        <f t="shared" si="1"/>
        <v>1000</v>
      </c>
      <c r="N21" s="14">
        <v>1010</v>
      </c>
      <c r="O21" s="47" t="s">
        <v>127</v>
      </c>
      <c r="P21" s="15" t="s">
        <v>141</v>
      </c>
      <c r="Q21" s="15">
        <f>P21*N21</f>
        <v>30.401</v>
      </c>
      <c r="R21" s="14"/>
    </row>
    <row r="22" spans="1:18" ht="19.5" thickBo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43" t="s">
        <v>3</v>
      </c>
      <c r="O22" s="44"/>
      <c r="P22" s="44"/>
      <c r="Q22" s="18">
        <f>SUM(Q8:Q21)</f>
        <v>848.63179999999988</v>
      </c>
      <c r="R22" s="1"/>
    </row>
    <row r="23" spans="1:18" ht="19.5" thickBo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43" t="s">
        <v>4</v>
      </c>
      <c r="O23" s="44"/>
      <c r="P23" s="44"/>
      <c r="Q23" s="19">
        <f>Q22/1000</f>
        <v>0.84863179999999994</v>
      </c>
      <c r="R23" s="1"/>
    </row>
  </sheetData>
  <mergeCells count="3">
    <mergeCell ref="K1:R1"/>
    <mergeCell ref="N22:P22"/>
    <mergeCell ref="N23:P23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5" r:id="rId8"/>
    <hyperlink ref="O16" r:id="rId9"/>
    <hyperlink ref="O17" r:id="rId10"/>
    <hyperlink ref="O18" r:id="rId11"/>
    <hyperlink ref="O19" r:id="rId12"/>
    <hyperlink ref="O20" r:id="rId13"/>
    <hyperlink ref="O21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 Boards</vt:lpstr>
      <vt:lpstr>1000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2025-03-03T05:50:21Z</dcterms:modified>
</cp:coreProperties>
</file>