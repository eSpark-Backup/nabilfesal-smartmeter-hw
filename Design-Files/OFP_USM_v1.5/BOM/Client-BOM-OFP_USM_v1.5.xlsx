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abilfesal-smartmeter-hw\Design-Files\OFP_USM_v1.5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6" i="1" l="1"/>
  <c r="B15" i="1" l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<sst xmlns="http://schemas.openxmlformats.org/spreadsheetml/2006/main" count="108" uniqueCount="85">
  <si>
    <t>#</t>
  </si>
  <si>
    <t>Item Type</t>
  </si>
  <si>
    <t>Capacitors</t>
  </si>
  <si>
    <t>(TVS/ESD)</t>
  </si>
  <si>
    <t>TVS/ESD</t>
  </si>
  <si>
    <t>Resettable Fuses</t>
  </si>
  <si>
    <t>Memory Connectors</t>
  </si>
  <si>
    <t>FFC/FPC Cable</t>
  </si>
  <si>
    <t>USB Connector</t>
  </si>
  <si>
    <t>LED</t>
  </si>
  <si>
    <t>Resistor</t>
  </si>
  <si>
    <t>Designator</t>
  </si>
  <si>
    <t>C1</t>
  </si>
  <si>
    <t>C2, C3, C4</t>
  </si>
  <si>
    <t>D1</t>
  </si>
  <si>
    <t>D2, D3</t>
  </si>
  <si>
    <t>D4</t>
  </si>
  <si>
    <t>F1</t>
  </si>
  <si>
    <t>J1</t>
  </si>
  <si>
    <t>J2</t>
  </si>
  <si>
    <t>J3</t>
  </si>
  <si>
    <t>LED1</t>
  </si>
  <si>
    <t>R1</t>
  </si>
  <si>
    <t>R2, R3, R4</t>
  </si>
  <si>
    <t>R5</t>
  </si>
  <si>
    <t>Description</t>
  </si>
  <si>
    <t>CAP CER 0.1UF 50V X7R 0603</t>
  </si>
  <si>
    <t>CAP CER 33PF 100V C0G/NP0 0603</t>
  </si>
  <si>
    <t>4A 14V 40W 6V Unidirectional 5V SOT-563 ESD and Surge Protection (TVS/ESD) ROHS</t>
  </si>
  <si>
    <t>3A 35W 12V 5.6V Bidirectional 5V DFN1006 ESD and Surge Protection (TVS/ESD) ROHS</t>
  </si>
  <si>
    <t>60W 5.6V Bidirectional 5V DFN1006 ESD and Surge Protection (TVS/ESD) ROHS</t>
  </si>
  <si>
    <t>6V 350mA 100A 750mA 0805 Resettable Fuses ROHS</t>
  </si>
  <si>
    <t>CONN MICRO SIMM PUSH-PUSH R/A</t>
  </si>
  <si>
    <t>Flip type 10P Bottom Contact Horizontal attachment 0.5mm SMD,P=0.5mm FFC, FPC (Flat Flexible) Connector Assemblies ROHS</t>
  </si>
  <si>
    <t>1.5A USB 2.0 1 Horizontal attachment 4P Female -20℃~+70℃ Type-A SMD USB Connectors ROHS</t>
  </si>
  <si>
    <t>RED LED 0603 Light Emitting Diodes</t>
  </si>
  <si>
    <t>RES 15K OHM 1% 1/10W 0603</t>
  </si>
  <si>
    <t>RES 22 OHM 1% 1/10W 0603</t>
  </si>
  <si>
    <t>RES SMD 680 OHM 1% 1/10W 0603</t>
  </si>
  <si>
    <t>Footprint</t>
  </si>
  <si>
    <t>Cap-0603</t>
  </si>
  <si>
    <t>SOT-563</t>
  </si>
  <si>
    <t>DFN1006-2L (Bi-Directional)</t>
  </si>
  <si>
    <t>Fuse-0805</t>
  </si>
  <si>
    <t>HX0.5-10P XJH2.0 043</t>
  </si>
  <si>
    <t>USB-234-BCW</t>
  </si>
  <si>
    <t>LED-0603</t>
  </si>
  <si>
    <t>Res-0603</t>
  </si>
  <si>
    <t>Manufacturer Part Number</t>
  </si>
  <si>
    <t>GCJ188R71H104KA12D</t>
  </si>
  <si>
    <t>GCM1885C2A330JA16D</t>
  </si>
  <si>
    <t>ESDA6V8AV6</t>
  </si>
  <si>
    <t>ESD9B5VL</t>
  </si>
  <si>
    <t>SLESD5451X</t>
  </si>
  <si>
    <t>SMD0805B035TF</t>
  </si>
  <si>
    <t>503960-0696</t>
  </si>
  <si>
    <t>NCD0603R3</t>
  </si>
  <si>
    <t>RC0603FR-0715KL</t>
  </si>
  <si>
    <t>RC0603FR-0722RL</t>
  </si>
  <si>
    <t>RC0603FR-07680RL</t>
  </si>
  <si>
    <t>Manufacturer</t>
  </si>
  <si>
    <t>Murata</t>
  </si>
  <si>
    <t>TECH PUBLIC</t>
  </si>
  <si>
    <t>Slkor(SLKORMICRO Elec.)</t>
  </si>
  <si>
    <t>Brightking</t>
  </si>
  <si>
    <t>Molex</t>
  </si>
  <si>
    <t>hanxia</t>
  </si>
  <si>
    <t>XUNPU</t>
  </si>
  <si>
    <t>Foshan NationStar Optoelectronics</t>
  </si>
  <si>
    <t>Yageo</t>
  </si>
  <si>
    <t>0.1uF</t>
  </si>
  <si>
    <t>33pF</t>
  </si>
  <si>
    <t>15K</t>
  </si>
  <si>
    <t>22R</t>
  </si>
  <si>
    <t>680R</t>
  </si>
  <si>
    <t>Quantity</t>
  </si>
  <si>
    <t>Remarks</t>
  </si>
  <si>
    <t>Value</t>
  </si>
  <si>
    <t>Custom</t>
  </si>
  <si>
    <t>-</t>
  </si>
  <si>
    <t>Peripheral</t>
  </si>
  <si>
    <t>0.3mm 10P 0.5mm 60mm P=0.5mm FFC Cable (Flexible Flat Cable) ROHS</t>
  </si>
  <si>
    <t>P=0.5mm</t>
  </si>
  <si>
    <t>AB03A0100000180A</t>
  </si>
  <si>
    <t>BZCN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</si>
</sst>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6"/>
  <sheetViews>
    <sheetView tabSelected="1" workbookViewId="0">
      <selection activeCell="G21" sqref="G21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10.5703125" bestFit="1" customWidth="1"/>
    <col min="5" max="5" width="30" customWidth="1"/>
    <col min="6" max="6" width="22.57031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11</v>
      </c>
      <c r="E2" s="6" t="s">
        <v>25</v>
      </c>
      <c r="F2" s="5" t="s">
        <v>39</v>
      </c>
      <c r="G2" s="6" t="s">
        <v>48</v>
      </c>
      <c r="H2" s="5" t="s">
        <v>60</v>
      </c>
      <c r="I2" s="6" t="s">
        <v>77</v>
      </c>
      <c r="J2" s="5" t="s">
        <v>75</v>
      </c>
      <c r="K2" s="5" t="s">
        <v>76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12</v>
      </c>
      <c r="E3" s="8" t="s">
        <v>26</v>
      </c>
      <c r="F3" s="7" t="s">
        <v>40</v>
      </c>
      <c r="G3" s="8" t="s">
        <v>49</v>
      </c>
      <c r="H3" s="7" t="s">
        <v>61</v>
      </c>
      <c r="I3" s="8" t="s">
        <v>70</v>
      </c>
      <c r="J3" s="7">
        <v>1</v>
      </c>
      <c r="K3" s="7"/>
    </row>
    <row r="4" spans="1:11" ht="15.75" thickBot="1" x14ac:dyDescent="0.3">
      <c r="A4" s="1"/>
      <c r="B4" s="11">
        <f t="shared" ref="B4:B16" si="0">ROW(B4) - ROW($B$2)</f>
        <v>2</v>
      </c>
      <c r="C4" s="13" t="s">
        <v>2</v>
      </c>
      <c r="D4" s="9" t="s">
        <v>13</v>
      </c>
      <c r="E4" s="10" t="s">
        <v>27</v>
      </c>
      <c r="F4" s="9" t="s">
        <v>40</v>
      </c>
      <c r="G4" s="10" t="s">
        <v>50</v>
      </c>
      <c r="H4" s="9" t="s">
        <v>61</v>
      </c>
      <c r="I4" s="10" t="s">
        <v>71</v>
      </c>
      <c r="J4" s="9">
        <v>3</v>
      </c>
      <c r="K4" s="9"/>
    </row>
    <row r="5" spans="1:11" ht="36.75" thickBot="1" x14ac:dyDescent="0.3">
      <c r="A5" s="1"/>
      <c r="B5" s="11">
        <f>ROW(B5) - ROW($B$2)</f>
        <v>3</v>
      </c>
      <c r="C5" s="12" t="s">
        <v>3</v>
      </c>
      <c r="D5" s="7" t="s">
        <v>14</v>
      </c>
      <c r="E5" s="8" t="s">
        <v>28</v>
      </c>
      <c r="F5" s="7" t="s">
        <v>41</v>
      </c>
      <c r="G5" s="8" t="s">
        <v>51</v>
      </c>
      <c r="H5" s="7" t="s">
        <v>62</v>
      </c>
      <c r="I5" s="8" t="s">
        <v>79</v>
      </c>
      <c r="J5" s="7">
        <v>1</v>
      </c>
      <c r="K5" s="7"/>
    </row>
    <row r="6" spans="1:11" ht="36.75" thickBot="1" x14ac:dyDescent="0.3">
      <c r="A6" s="1"/>
      <c r="B6" s="11">
        <f t="shared" si="0"/>
        <v>4</v>
      </c>
      <c r="C6" s="13" t="s">
        <v>3</v>
      </c>
      <c r="D6" s="9" t="s">
        <v>15</v>
      </c>
      <c r="E6" s="10" t="s">
        <v>29</v>
      </c>
      <c r="F6" s="9" t="s">
        <v>42</v>
      </c>
      <c r="G6" s="10" t="s">
        <v>52</v>
      </c>
      <c r="H6" s="9" t="s">
        <v>62</v>
      </c>
      <c r="I6" s="8" t="s">
        <v>79</v>
      </c>
      <c r="J6" s="9">
        <v>2</v>
      </c>
      <c r="K6" s="9"/>
    </row>
    <row r="7" spans="1:11" ht="36.75" thickBot="1" x14ac:dyDescent="0.3">
      <c r="A7" s="1"/>
      <c r="B7" s="11">
        <f>ROW(B7) - ROW($B$2)</f>
        <v>5</v>
      </c>
      <c r="C7" s="12" t="s">
        <v>4</v>
      </c>
      <c r="D7" s="7" t="s">
        <v>16</v>
      </c>
      <c r="E7" s="8" t="s">
        <v>30</v>
      </c>
      <c r="F7" s="7" t="s">
        <v>42</v>
      </c>
      <c r="G7" s="8" t="s">
        <v>53</v>
      </c>
      <c r="H7" s="7" t="s">
        <v>63</v>
      </c>
      <c r="I7" s="8" t="s">
        <v>79</v>
      </c>
      <c r="J7" s="7">
        <v>1</v>
      </c>
      <c r="K7" s="7"/>
    </row>
    <row r="8" spans="1:11" ht="24.75" thickBot="1" x14ac:dyDescent="0.3">
      <c r="A8" s="1"/>
      <c r="B8" s="11">
        <f t="shared" si="0"/>
        <v>6</v>
      </c>
      <c r="C8" s="13" t="s">
        <v>5</v>
      </c>
      <c r="D8" s="9" t="s">
        <v>17</v>
      </c>
      <c r="E8" s="10" t="s">
        <v>31</v>
      </c>
      <c r="F8" s="9" t="s">
        <v>43</v>
      </c>
      <c r="G8" s="10" t="s">
        <v>54</v>
      </c>
      <c r="H8" s="9" t="s">
        <v>64</v>
      </c>
      <c r="I8" s="8" t="s">
        <v>79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6</v>
      </c>
      <c r="D9" s="7" t="s">
        <v>18</v>
      </c>
      <c r="E9" s="8" t="s">
        <v>32</v>
      </c>
      <c r="F9" s="9" t="s">
        <v>78</v>
      </c>
      <c r="G9" s="8" t="s">
        <v>55</v>
      </c>
      <c r="H9" s="7" t="s">
        <v>65</v>
      </c>
      <c r="I9" s="8" t="s">
        <v>79</v>
      </c>
      <c r="J9" s="7">
        <v>1</v>
      </c>
      <c r="K9" s="7"/>
    </row>
    <row r="10" spans="1:11" ht="48.75" thickBot="1" x14ac:dyDescent="0.3">
      <c r="A10" s="1"/>
      <c r="B10" s="11">
        <f t="shared" si="0"/>
        <v>8</v>
      </c>
      <c r="C10" s="13" t="s">
        <v>7</v>
      </c>
      <c r="D10" s="9" t="s">
        <v>19</v>
      </c>
      <c r="E10" s="10" t="s">
        <v>33</v>
      </c>
      <c r="F10" s="9" t="s">
        <v>78</v>
      </c>
      <c r="G10" s="10" t="s">
        <v>44</v>
      </c>
      <c r="H10" s="9" t="s">
        <v>66</v>
      </c>
      <c r="I10" s="8" t="s">
        <v>79</v>
      </c>
      <c r="J10" s="9">
        <v>1</v>
      </c>
      <c r="K10" s="9"/>
    </row>
    <row r="11" spans="1:11" ht="36.75" thickBot="1" x14ac:dyDescent="0.3">
      <c r="A11" s="1"/>
      <c r="B11" s="11">
        <f>ROW(B11) - ROW($B$2)</f>
        <v>9</v>
      </c>
      <c r="C11" s="12" t="s">
        <v>8</v>
      </c>
      <c r="D11" s="7" t="s">
        <v>20</v>
      </c>
      <c r="E11" s="8" t="s">
        <v>34</v>
      </c>
      <c r="F11" s="9" t="s">
        <v>78</v>
      </c>
      <c r="G11" s="8" t="s">
        <v>45</v>
      </c>
      <c r="H11" s="7" t="s">
        <v>67</v>
      </c>
      <c r="I11" s="8" t="s">
        <v>79</v>
      </c>
      <c r="J11" s="7">
        <v>1</v>
      </c>
      <c r="K11" s="7"/>
    </row>
    <row r="12" spans="1:11" ht="24.75" thickBot="1" x14ac:dyDescent="0.3">
      <c r="A12" s="1"/>
      <c r="B12" s="11">
        <f t="shared" si="0"/>
        <v>10</v>
      </c>
      <c r="C12" s="13" t="s">
        <v>9</v>
      </c>
      <c r="D12" s="9" t="s">
        <v>21</v>
      </c>
      <c r="E12" s="10" t="s">
        <v>35</v>
      </c>
      <c r="F12" s="9" t="s">
        <v>46</v>
      </c>
      <c r="G12" s="10" t="s">
        <v>56</v>
      </c>
      <c r="H12" s="9" t="s">
        <v>68</v>
      </c>
      <c r="I12" s="8" t="s">
        <v>79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10</v>
      </c>
      <c r="D13" s="7" t="s">
        <v>22</v>
      </c>
      <c r="E13" s="8" t="s">
        <v>36</v>
      </c>
      <c r="F13" s="7" t="s">
        <v>47</v>
      </c>
      <c r="G13" s="8" t="s">
        <v>57</v>
      </c>
      <c r="H13" s="7" t="s">
        <v>69</v>
      </c>
      <c r="I13" s="8" t="s">
        <v>72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10</v>
      </c>
      <c r="D14" s="9" t="s">
        <v>23</v>
      </c>
      <c r="E14" s="10" t="s">
        <v>37</v>
      </c>
      <c r="F14" s="9" t="s">
        <v>47</v>
      </c>
      <c r="G14" s="10" t="s">
        <v>58</v>
      </c>
      <c r="H14" s="9" t="s">
        <v>69</v>
      </c>
      <c r="I14" s="10" t="s">
        <v>73</v>
      </c>
      <c r="J14" s="9">
        <v>3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10</v>
      </c>
      <c r="D15" s="7" t="s">
        <v>24</v>
      </c>
      <c r="E15" s="8" t="s">
        <v>38</v>
      </c>
      <c r="F15" s="7" t="s">
        <v>47</v>
      </c>
      <c r="G15" s="8" t="s">
        <v>59</v>
      </c>
      <c r="H15" s="7" t="s">
        <v>69</v>
      </c>
      <c r="I15" s="8" t="s">
        <v>74</v>
      </c>
      <c r="J15" s="7">
        <v>1</v>
      </c>
      <c r="K15" s="7"/>
    </row>
    <row r="16" spans="1:11" ht="24.75" thickBot="1" x14ac:dyDescent="0.3">
      <c r="B16" s="11">
        <f t="shared" si="0"/>
        <v>14</v>
      </c>
      <c r="C16" s="13" t="s">
        <v>80</v>
      </c>
      <c r="D16" s="9" t="s">
        <v>79</v>
      </c>
      <c r="E16" s="10" t="s">
        <v>81</v>
      </c>
      <c r="F16" s="9" t="s">
        <v>82</v>
      </c>
      <c r="G16" s="10" t="s">
        <v>83</v>
      </c>
      <c r="H16" s="9" t="s">
        <v>84</v>
      </c>
      <c r="I16" s="10" t="s">
        <v>79</v>
      </c>
      <c r="J16" s="9">
        <v>1</v>
      </c>
      <c r="K16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2025-02-27T07:24:29Z</dcterms:modified>
</cp:coreProperties>
</file>