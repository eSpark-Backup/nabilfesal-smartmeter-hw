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aSim Data\GitHub\nabilfesal-smartmeter-hw\Design-Files\OFP_VIM_DC_v1.5\Project Outputs for OFP_VIM_DC_v1.5\"/>
    </mc:Choice>
  </mc:AlternateContent>
  <xr:revisionPtr revIDLastSave="0" documentId="13_ncr:1_{BED97ADE-24DC-4CA1-A10D-5D7464DCD306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<sst xmlns="http://schemas.openxmlformats.org/spreadsheetml/2006/main" count="104" uniqueCount="79">
  <si>
    <t>#</t>
  </si>
  <si>
    <t>Item Type</t>
  </si>
  <si>
    <t>Bridge Rectifiers</t>
  </si>
  <si>
    <t>Capacitors</t>
  </si>
  <si>
    <t>Diodes</t>
  </si>
  <si>
    <t>Fuses</t>
  </si>
  <si>
    <t>Ferrite Beads</t>
  </si>
  <si>
    <t>Fuse Holders</t>
  </si>
  <si>
    <t>Connectors</t>
  </si>
  <si>
    <t>Terminal Block</t>
  </si>
  <si>
    <t>Resistors</t>
  </si>
  <si>
    <t>Resistor</t>
  </si>
  <si>
    <t>Designator</t>
  </si>
  <si>
    <t>BR1</t>
  </si>
  <si>
    <t>C19, C22, C25</t>
  </si>
  <si>
    <t>C20, C21, C23, C24, C26, C27</t>
  </si>
  <si>
    <t>D1</t>
  </si>
  <si>
    <t>F1</t>
  </si>
  <si>
    <t>FB1, FB2, FB3, FB4</t>
  </si>
  <si>
    <t>J1</t>
  </si>
  <si>
    <t>J2</t>
  </si>
  <si>
    <t>J3</t>
  </si>
  <si>
    <t>J4</t>
  </si>
  <si>
    <t>J5</t>
  </si>
  <si>
    <t>J6</t>
  </si>
  <si>
    <t>R25, R26, R27, R28, R31, R32, R33, R34, R37, R38, R39, R40</t>
  </si>
  <si>
    <t>R29, R30, R35, R36, R41, R42</t>
  </si>
  <si>
    <t>Description</t>
  </si>
  <si>
    <t>60A 1.1V@3A 3A 1kV DBS Bridge Rectifiers ROHS</t>
  </si>
  <si>
    <t>51 pF ±1% 250V Ceramic Capacitor C0G, NP0 0603 (1608 Metric)</t>
  </si>
  <si>
    <t>CAP CER 0.022UF 500V X7R 1206</t>
  </si>
  <si>
    <t>DIODE ZENER 15V 500MW SOD123</t>
  </si>
  <si>
    <t>FUSE BRD MNT 1.5A 125VAC/VDC SMD</t>
  </si>
  <si>
    <t>FERRITE BEAD 1.5 KOHM 0805 1LN</t>
  </si>
  <si>
    <t>FUSE BLOK CARTRIDGE 125V 10A SMD</t>
  </si>
  <si>
    <t>CONN HDR 24POS 0.1 GOLD PCB R/A</t>
  </si>
  <si>
    <t>320V 20A 4 Bend -40℃~+105℃ 1 5.08mm 1x4P Green Receptacle-Close Screw Fixing Push-Pull,P=5.08mm Pluggable System Terminal Block ROHS</t>
  </si>
  <si>
    <t>-40℃~+105℃ 2.5 1 14~28 5.08mm 320V 20A 4 1x4P Green Plug Screw Fixing P=5.08mm Pluggable System Terminal Block ROHS</t>
  </si>
  <si>
    <t>320V 20A 2 Right-Angle Pin -40℃~+105℃ 1 5.08mm 1x2P Green Board Side/Socket - Closed Screw Push-Pull,P=5.08mm Pluggable System Terminal Block ROHS</t>
  </si>
  <si>
    <t>40℃~+105℃ 2.5 1 14~28 5.08mm 320V 20A 2 1x2P Green Plug Screw P=5.08mm Pluggable System Terminal Block ROHS</t>
  </si>
  <si>
    <t>RES SMD 200K OHM 1% 1W 2512</t>
  </si>
  <si>
    <t>RES 1K OHM 5% 1W 2512</t>
  </si>
  <si>
    <t>Footprint</t>
  </si>
  <si>
    <t>DBS</t>
  </si>
  <si>
    <t>Cap-0603</t>
  </si>
  <si>
    <t>Cap-1206</t>
  </si>
  <si>
    <t>SOD-123W</t>
  </si>
  <si>
    <t>Ind-0805</t>
  </si>
  <si>
    <t>01550900M</t>
  </si>
  <si>
    <t>SFH11-PBPC-D12-RA-BK</t>
  </si>
  <si>
    <t>DB2ERM-5.08-4P-GN</t>
  </si>
  <si>
    <t>DB2ERM-5.08-2P-GN</t>
  </si>
  <si>
    <t>RES-2512</t>
  </si>
  <si>
    <t>Manufacturer Part Number</t>
  </si>
  <si>
    <t>DB307S</t>
  </si>
  <si>
    <t>GQM1875C2E510FB12D</t>
  </si>
  <si>
    <t>CC1206KKX7RBBB223</t>
  </si>
  <si>
    <t>MMSZ5245B-7-F</t>
  </si>
  <si>
    <t>045301.5MR</t>
  </si>
  <si>
    <t>BLM21BD152SN1D</t>
  </si>
  <si>
    <t>DB2EKM-5.08-4P-GN-S</t>
  </si>
  <si>
    <t>DB2EKM-5.08-2P-GN-S</t>
  </si>
  <si>
    <t>CRCW2512200KFKEG</t>
  </si>
  <si>
    <t>RC2512JK-071KL</t>
  </si>
  <si>
    <t>Manufacturer</t>
  </si>
  <si>
    <t>GOODWORK</t>
  </si>
  <si>
    <t>Murata</t>
  </si>
  <si>
    <t>Yageo</t>
  </si>
  <si>
    <t>Littelfuse</t>
  </si>
  <si>
    <t>Sullins</t>
  </si>
  <si>
    <t>DORABO</t>
  </si>
  <si>
    <t>Vishay Dale</t>
  </si>
  <si>
    <t>Comment</t>
  </si>
  <si>
    <t>51pF</t>
  </si>
  <si>
    <t>22nF</t>
  </si>
  <si>
    <t>15V</t>
  </si>
  <si>
    <t>200K</t>
  </si>
  <si>
    <t>1K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</si>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</sst>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6"/>
  <sheetViews>
    <sheetView tabSelected="1" workbookViewId="0">
      <selection activeCell="K2" sqref="K1:K1048576"/>
    </sheetView>
  </sheetViews>
  <sheetFormatPr defaultRowHeight="14.5" x14ac:dyDescent="0.35"/>
  <cols>
    <col min="2" max="2" width="3.1796875" style="4" customWidth="1"/>
    <col min="3" max="3" width="18.7265625" style="4" bestFit="1" customWidth="1"/>
    <col min="4" max="4" width="36" bestFit="1" customWidth="1"/>
    <col min="5" max="5" width="30" customWidth="1"/>
    <col min="6" max="6" width="26.54296875" bestFit="1" customWidth="1"/>
    <col min="7" max="7" width="33.453125" bestFit="1" customWidth="1"/>
    <col min="8" max="8" width="21.453125" bestFit="1" customWidth="1"/>
    <col min="9" max="9" width="17.81640625" bestFit="1" customWidth="1"/>
    <col min="10" max="10" width="16.7265625" bestFit="1" customWidth="1"/>
  </cols>
  <sheetData>
    <row r="1" spans="1:10" ht="15" thickBot="1" x14ac:dyDescent="0.4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" thickBot="1" x14ac:dyDescent="0.4">
      <c r="A2" s="1"/>
      <c r="B2" s="5" t="s">
        <v>0</v>
      </c>
      <c r="C2" s="5" t="s">
        <v>1</v>
      </c>
      <c r="D2" s="5" t="s">
        <v>12</v>
      </c>
      <c r="E2" s="6" t="s">
        <v>27</v>
      </c>
      <c r="F2" s="5" t="s">
        <v>42</v>
      </c>
      <c r="G2" s="6" t="s">
        <v>53</v>
      </c>
      <c r="H2" s="5" t="s">
        <v>64</v>
      </c>
      <c r="I2" s="6" t="s">
        <v>72</v>
      </c>
      <c r="J2" s="5" t="s">
        <v>78</v>
      </c>
    </row>
    <row r="3" spans="1:10" ht="24.5" thickBot="1" x14ac:dyDescent="0.4">
      <c r="A3" s="1"/>
      <c r="B3" s="11">
        <f>ROW(B3) - ROW($B$2)</f>
        <v>1</v>
      </c>
      <c r="C3" s="12" t="s">
        <v>2</v>
      </c>
      <c r="D3" s="7" t="s">
        <v>13</v>
      </c>
      <c r="E3" s="8" t="s">
        <v>28</v>
      </c>
      <c r="F3" s="7" t="s">
        <v>43</v>
      </c>
      <c r="G3" s="8" t="s">
        <v>54</v>
      </c>
      <c r="H3" s="7" t="s">
        <v>65</v>
      </c>
      <c r="I3" s="8" t="s">
        <v>54</v>
      </c>
      <c r="J3" s="7">
        <v>1</v>
      </c>
    </row>
    <row r="4" spans="1:10" ht="24.5" thickBot="1" x14ac:dyDescent="0.4">
      <c r="A4" s="1"/>
      <c r="B4" s="11">
        <f t="shared" ref="B4:B16" si="0">ROW(B4) - ROW($B$2)</f>
        <v>2</v>
      </c>
      <c r="C4" s="13" t="s">
        <v>3</v>
      </c>
      <c r="D4" s="9" t="s">
        <v>14</v>
      </c>
      <c r="E4" s="10" t="s">
        <v>29</v>
      </c>
      <c r="F4" s="9" t="s">
        <v>44</v>
      </c>
      <c r="G4" s="10" t="s">
        <v>55</v>
      </c>
      <c r="H4" s="9" t="s">
        <v>66</v>
      </c>
      <c r="I4" s="10" t="s">
        <v>73</v>
      </c>
      <c r="J4" s="9">
        <v>3</v>
      </c>
    </row>
    <row r="5" spans="1:10" ht="15" thickBot="1" x14ac:dyDescent="0.4">
      <c r="A5" s="1"/>
      <c r="B5" s="11">
        <f>ROW(B5) - ROW($B$2)</f>
        <v>3</v>
      </c>
      <c r="C5" s="12" t="s">
        <v>3</v>
      </c>
      <c r="D5" s="7" t="s">
        <v>15</v>
      </c>
      <c r="E5" s="8" t="s">
        <v>30</v>
      </c>
      <c r="F5" s="7" t="s">
        <v>45</v>
      </c>
      <c r="G5" s="8" t="s">
        <v>56</v>
      </c>
      <c r="H5" s="7" t="s">
        <v>67</v>
      </c>
      <c r="I5" s="8" t="s">
        <v>74</v>
      </c>
      <c r="J5" s="7">
        <v>6</v>
      </c>
    </row>
    <row r="6" spans="1:10" ht="15" thickBot="1" x14ac:dyDescent="0.4">
      <c r="A6" s="1"/>
      <c r="B6" s="11">
        <f t="shared" si="0"/>
        <v>4</v>
      </c>
      <c r="C6" s="13" t="s">
        <v>4</v>
      </c>
      <c r="D6" s="9" t="s">
        <v>16</v>
      </c>
      <c r="E6" s="10" t="s">
        <v>31</v>
      </c>
      <c r="F6" s="9" t="s">
        <v>46</v>
      </c>
      <c r="G6" s="10" t="s">
        <v>57</v>
      </c>
      <c r="H6" s="9" t="s">
        <v>4</v>
      </c>
      <c r="I6" s="10" t="s">
        <v>75</v>
      </c>
      <c r="J6" s="9">
        <v>1</v>
      </c>
    </row>
    <row r="7" spans="1:10" ht="15" thickBot="1" x14ac:dyDescent="0.4">
      <c r="A7" s="1"/>
      <c r="B7" s="11">
        <f>ROW(B7) - ROW($B$2)</f>
        <v>5</v>
      </c>
      <c r="C7" s="12" t="s">
        <v>5</v>
      </c>
      <c r="D7" s="7" t="s">
        <v>17</v>
      </c>
      <c r="E7" s="8" t="s">
        <v>32</v>
      </c>
      <c r="F7" s="7"/>
      <c r="G7" s="8" t="s">
        <v>58</v>
      </c>
      <c r="H7" s="7" t="s">
        <v>68</v>
      </c>
      <c r="I7" s="8" t="s">
        <v>58</v>
      </c>
      <c r="J7" s="7">
        <v>1</v>
      </c>
    </row>
    <row r="8" spans="1:10" ht="15" thickBot="1" x14ac:dyDescent="0.4">
      <c r="A8" s="1"/>
      <c r="B8" s="11">
        <f t="shared" si="0"/>
        <v>6</v>
      </c>
      <c r="C8" s="13" t="s">
        <v>6</v>
      </c>
      <c r="D8" s="9" t="s">
        <v>18</v>
      </c>
      <c r="E8" s="10" t="s">
        <v>33</v>
      </c>
      <c r="F8" s="9" t="s">
        <v>47</v>
      </c>
      <c r="G8" s="10" t="s">
        <v>59</v>
      </c>
      <c r="H8" s="9" t="s">
        <v>66</v>
      </c>
      <c r="I8" s="10" t="s">
        <v>59</v>
      </c>
      <c r="J8" s="9">
        <v>4</v>
      </c>
    </row>
    <row r="9" spans="1:10" ht="15" thickBot="1" x14ac:dyDescent="0.4">
      <c r="A9" s="1"/>
      <c r="B9" s="11">
        <f>ROW(B9) - ROW($B$2)</f>
        <v>7</v>
      </c>
      <c r="C9" s="12" t="s">
        <v>7</v>
      </c>
      <c r="D9" s="7" t="s">
        <v>19</v>
      </c>
      <c r="E9" s="8" t="s">
        <v>34</v>
      </c>
      <c r="F9" s="7" t="s">
        <v>48</v>
      </c>
      <c r="G9" s="8" t="s">
        <v>48</v>
      </c>
      <c r="H9" s="7" t="s">
        <v>68</v>
      </c>
      <c r="I9" s="8" t="s">
        <v>48</v>
      </c>
      <c r="J9" s="7">
        <v>1</v>
      </c>
    </row>
    <row r="10" spans="1:10" ht="15" thickBot="1" x14ac:dyDescent="0.4">
      <c r="A10" s="1"/>
      <c r="B10" s="11">
        <f t="shared" si="0"/>
        <v>8</v>
      </c>
      <c r="C10" s="13" t="s">
        <v>8</v>
      </c>
      <c r="D10" s="9" t="s">
        <v>20</v>
      </c>
      <c r="E10" s="10" t="s">
        <v>35</v>
      </c>
      <c r="F10" s="9" t="s">
        <v>49</v>
      </c>
      <c r="G10" s="10" t="s">
        <v>49</v>
      </c>
      <c r="H10" s="9" t="s">
        <v>69</v>
      </c>
      <c r="I10" s="10" t="s">
        <v>49</v>
      </c>
      <c r="J10" s="9">
        <v>1</v>
      </c>
    </row>
    <row r="11" spans="1:10" ht="48.5" thickBot="1" x14ac:dyDescent="0.4">
      <c r="A11" s="1"/>
      <c r="B11" s="11">
        <f>ROW(B11) - ROW($B$2)</f>
        <v>9</v>
      </c>
      <c r="C11" s="12" t="s">
        <v>9</v>
      </c>
      <c r="D11" s="7" t="s">
        <v>21</v>
      </c>
      <c r="E11" s="8" t="s">
        <v>36</v>
      </c>
      <c r="F11" s="7" t="s">
        <v>50</v>
      </c>
      <c r="G11" s="8" t="s">
        <v>50</v>
      </c>
      <c r="H11" s="7" t="s">
        <v>70</v>
      </c>
      <c r="I11" s="8" t="s">
        <v>50</v>
      </c>
      <c r="J11" s="7">
        <v>1</v>
      </c>
    </row>
    <row r="12" spans="1:10" ht="48.5" thickBot="1" x14ac:dyDescent="0.4">
      <c r="A12" s="1"/>
      <c r="B12" s="11">
        <f t="shared" si="0"/>
        <v>10</v>
      </c>
      <c r="C12" s="13" t="s">
        <v>9</v>
      </c>
      <c r="D12" s="9" t="s">
        <v>22</v>
      </c>
      <c r="E12" s="10" t="s">
        <v>37</v>
      </c>
      <c r="F12" s="9"/>
      <c r="G12" s="10" t="s">
        <v>60</v>
      </c>
      <c r="H12" s="9" t="s">
        <v>70</v>
      </c>
      <c r="I12" s="10" t="s">
        <v>60</v>
      </c>
      <c r="J12" s="9">
        <v>1</v>
      </c>
    </row>
    <row r="13" spans="1:10" ht="48.5" thickBot="1" x14ac:dyDescent="0.4">
      <c r="A13" s="1"/>
      <c r="B13" s="11">
        <f>ROW(B13) - ROW($B$2)</f>
        <v>11</v>
      </c>
      <c r="C13" s="12" t="s">
        <v>9</v>
      </c>
      <c r="D13" s="7" t="s">
        <v>23</v>
      </c>
      <c r="E13" s="8" t="s">
        <v>38</v>
      </c>
      <c r="F13" s="7" t="s">
        <v>51</v>
      </c>
      <c r="G13" s="8" t="s">
        <v>51</v>
      </c>
      <c r="H13" s="7" t="s">
        <v>70</v>
      </c>
      <c r="I13" s="8" t="s">
        <v>51</v>
      </c>
      <c r="J13" s="7">
        <v>1</v>
      </c>
    </row>
    <row r="14" spans="1:10" ht="36.5" thickBot="1" x14ac:dyDescent="0.4">
      <c r="A14" s="1"/>
      <c r="B14" s="11">
        <f t="shared" si="0"/>
        <v>12</v>
      </c>
      <c r="C14" s="13" t="s">
        <v>9</v>
      </c>
      <c r="D14" s="9" t="s">
        <v>24</v>
      </c>
      <c r="E14" s="10" t="s">
        <v>39</v>
      </c>
      <c r="F14" s="9"/>
      <c r="G14" s="10" t="s">
        <v>61</v>
      </c>
      <c r="H14" s="9" t="s">
        <v>70</v>
      </c>
      <c r="I14" s="10" t="s">
        <v>61</v>
      </c>
      <c r="J14" s="9">
        <v>1</v>
      </c>
    </row>
    <row r="15" spans="1:10" ht="24.5" thickBot="1" x14ac:dyDescent="0.4">
      <c r="A15" s="1"/>
      <c r="B15" s="11">
        <f>ROW(B15) - ROW($B$2)</f>
        <v>13</v>
      </c>
      <c r="C15" s="12" t="s">
        <v>10</v>
      </c>
      <c r="D15" s="7" t="s">
        <v>25</v>
      </c>
      <c r="E15" s="8" t="s">
        <v>40</v>
      </c>
      <c r="F15" s="7" t="s">
        <v>52</v>
      </c>
      <c r="G15" s="8" t="s">
        <v>62</v>
      </c>
      <c r="H15" s="7" t="s">
        <v>71</v>
      </c>
      <c r="I15" s="8" t="s">
        <v>76</v>
      </c>
      <c r="J15" s="7">
        <v>12</v>
      </c>
    </row>
    <row r="16" spans="1:10" ht="15" thickBot="1" x14ac:dyDescent="0.4">
      <c r="A16" s="1"/>
      <c r="B16" s="11">
        <f t="shared" si="0"/>
        <v>14</v>
      </c>
      <c r="C16" s="13" t="s">
        <v>11</v>
      </c>
      <c r="D16" s="9" t="s">
        <v>26</v>
      </c>
      <c r="E16" s="10" t="s">
        <v>41</v>
      </c>
      <c r="F16" s="9" t="s">
        <v>52</v>
      </c>
      <c r="G16" s="10" t="s">
        <v>63</v>
      </c>
      <c r="H16" s="9" t="s">
        <v>67</v>
      </c>
      <c r="I16" s="10" t="s">
        <v>77</v>
      </c>
      <c r="J16" s="9">
        <v>6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Saba aSim</cp:lastModifiedBy>
  <dcterms:created xsi:type="dcterms:W3CDTF">2019-12-12T10:34:26Z</dcterms:created>
  <dcterms:modified xsi:type="dcterms:W3CDTF">2025-06-13T20:00:23Z</dcterms:modified>
</cp:coreProperties>
</file>